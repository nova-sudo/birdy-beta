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Compute Comparison" sheetId="3" state="visible" r:id="rId5"/>
    <sheet name="End-to-End Comparison" sheetId="4" state="visible" r:id="rId6"/>
    <sheet name="Overhead Analysis" sheetId="5" state="visible" r:id="rId7"/>
    <sheet name="MPI Startup Co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<sst xmlns="http://schemas.openxmlformats.org/spreadsheetml/2006/main" count="262" uniqueCount="99">
  <si>
    <t xml:space="preserve">Distributed Image Greyscale — Sequential vs. MPI</t>
  </si>
  <si>
    <t xml:space="preserve">Comparison workbook. Every derived figure is a live formula over the Raw Data sheet.</t>
  </si>
  <si>
    <t xml:space="preserve">SHEETS</t>
  </si>
  <si>
    <t xml:space="preserve">Raw Data</t>
  </si>
  <si>
    <t xml:space="preserve">Every measured run, one row per configuration. Blue = measured input. Source: results/benchmark.csv</t>
  </si>
  <si>
    <t xml:space="preserve">Compute Comparison</t>
  </si>
  <si>
    <t xml:space="preserve">Compute-phase time, speed-up and parallel efficiency vs. the sequential baseline.</t>
  </si>
  <si>
    <t xml:space="preserve">End-to-End Comparison</t>
  </si>
  <si>
    <t xml:space="preserve">Whole-program time including read, communication and write — what a user actually waits for.</t>
  </si>
  <si>
    <t xml:space="preserve">Overhead Analysis</t>
  </si>
  <si>
    <t xml:space="preserve">Communication and I/O cost set against the computation they were meant to accelerate.</t>
  </si>
  <si>
    <t xml:space="preserve">MPI Startup Cost</t>
  </si>
  <si>
    <t xml:space="preserve">Fixed cost of MPI_Init + MPI_Finalize, excluded from all timings above.</t>
  </si>
  <si>
    <t xml:space="preserve">HOW TO READ IT</t>
  </si>
  <si>
    <t xml:space="preserve">Blue figures</t>
  </si>
  <si>
    <t xml:space="preserve">Measured inputs. Change one and the workbook recalculates.</t>
  </si>
  <si>
    <t xml:space="preserve">Black figures</t>
  </si>
  <si>
    <t xml:space="preserve">Formulas derived from the blue inputs.</t>
  </si>
  <si>
    <t xml:space="preserve">Green / red fills</t>
  </si>
  <si>
    <t xml:space="preserve">Faster than sequential / slower than sequential.</t>
  </si>
  <si>
    <t xml:space="preserve">Compute speed-up</t>
  </si>
  <si>
    <t xml:space="preserve">T_sequential(compute) / T_parallel(compute) — judges the decomposition.</t>
  </si>
  <si>
    <t xml:space="preserve">End-to-end speed-up</t>
  </si>
  <si>
    <t xml:space="preserve">T_sequential(total) / T_parallel(total) — judges the program. The honest number.</t>
  </si>
  <si>
    <t xml:space="preserve">Efficiency</t>
  </si>
  <si>
    <t xml:space="preserve">Compute speed-up divided by process count. 100% = perfect scaling.</t>
  </si>
  <si>
    <t xml:space="preserve">METHOD</t>
  </si>
  <si>
    <t xml:space="preserve">Timing</t>
  </si>
  <si>
    <t xml:space="preserve">Kernel repeated 60x in-process; best of 9 whole-program trials. The minimum is used, not the mean.</t>
  </si>
  <si>
    <t xml:space="preserve">Parallel phases</t>
  </si>
  <si>
    <t xml:space="preserve">Reduced across ranks with MPI_MAX: a phase costs what its slowest rank costs.</t>
  </si>
  <si>
    <t xml:space="preserve">Repetition loop</t>
  </si>
  <si>
    <t xml:space="preserve">Subtracted from the total, so sequential and MPI totals are directly comparable.</t>
  </si>
  <si>
    <t xml:space="preserve">Correctness</t>
  </si>
  <si>
    <t xml:space="preserve">Every run re-verified byte-for-byte against the sequential output. See logs/02_correctness.log.</t>
  </si>
  <si>
    <t xml:space="preserve">EVIDENCE</t>
  </si>
  <si>
    <t xml:space="preserve">Raw program output</t>
  </si>
  <si>
    <t xml:space="preserve">03_Logs_and_Data/logs/ — one untouched log per configuration.</t>
  </si>
  <si>
    <t xml:space="preserve">Written analysis</t>
  </si>
  <si>
    <t xml:space="preserve">REPORT.md, sections 5 and 6.</t>
  </si>
  <si>
    <t xml:space="preserve">Source data</t>
  </si>
  <si>
    <t xml:space="preserve">03_Logs_and_Data/benchmark.csv, environment.txt</t>
  </si>
  <si>
    <t xml:space="preserve">Raw measurements</t>
  </si>
  <si>
    <t xml:space="preserve">All times in seconds, best of 9 trials. Measured inputs shown in blue — every other sheet is formulas over this one. Source: results/benchmark.csv</t>
  </si>
  <si>
    <t xml:space="preserve">mode</t>
  </si>
  <si>
    <t xml:space="preserve">procs</t>
  </si>
  <si>
    <t xml:space="preserve">width</t>
  </si>
  <si>
    <t xml:space="preserve">height</t>
  </si>
  <si>
    <t xml:space="preserve">pixels</t>
  </si>
  <si>
    <t xml:space="preserve">read_s</t>
  </si>
  <si>
    <t xml:space="preserve">scatter_s</t>
  </si>
  <si>
    <t xml:space="preserve">compute_s</t>
  </si>
  <si>
    <t xml:space="preserve">gather_s</t>
  </si>
  <si>
    <t xml:space="preserve">write_s</t>
  </si>
  <si>
    <t xml:space="preserve">total_s</t>
  </si>
  <si>
    <t xml:space="preserve">sequential</t>
  </si>
  <si>
    <t xml:space="preserve">mpi-scatter</t>
  </si>
  <si>
    <t xml:space="preserve">mpi-mpiio</t>
  </si>
  <si>
    <t xml:space="preserve">Empty scatter/gather cells: that phase does not exist in that mode (the sequential program and the MPI-IO path never move data between ranks).</t>
  </si>
  <si>
    <t xml:space="preserve">Compute phase — how well the decomposition scales</t>
  </si>
  <si>
    <t xml:space="preserve">Speed-up = sequential compute time / parallel compute time. Efficiency = speed-up / ranks. This measures the parallel work only; see 'End-to-End Comparison' for the whole program.</t>
  </si>
  <si>
    <t xml:space="preserve">1920x1080   (2.1 MPixel)</t>
  </si>
  <si>
    <t xml:space="preserve">Mode</t>
  </si>
  <si>
    <t xml:space="preserve">Ranks</t>
  </si>
  <si>
    <t xml:space="preserve">Compute (ms)</t>
  </si>
  <si>
    <t xml:space="preserve">Speed-up</t>
  </si>
  <si>
    <t xml:space="preserve">Ideal</t>
  </si>
  <si>
    <t xml:space="preserve">Comment</t>
  </si>
  <si>
    <t xml:space="preserve">Sequential baseline</t>
  </si>
  <si>
    <t xml:space="preserve">MPI scatter/gather</t>
  </si>
  <si>
    <t xml:space="preserve">MPI collective I/O</t>
  </si>
  <si>
    <t xml:space="preserve">3840x2160   (8.3 MPixel)</t>
  </si>
  <si>
    <t xml:space="preserve">7680x4320   (33.2 MPixel)</t>
  </si>
  <si>
    <t xml:space="preserve">Whole program — what the user actually waits for</t>
  </si>
  <si>
    <t xml:space="preserve">Read + communication + compute + write. A speed-up below 1.00x means the parallel program is SLOWER than the sequential one. Green = faster, red = slower.</t>
  </si>
  <si>
    <t xml:space="preserve">1920x1080</t>
  </si>
  <si>
    <t xml:space="preserve">I/O (ms)</t>
  </si>
  <si>
    <t xml:space="preserve">Comm (ms)</t>
  </si>
  <si>
    <t xml:space="preserve">Total (ms)</t>
  </si>
  <si>
    <t xml:space="preserve">Verdict</t>
  </si>
  <si>
    <t xml:space="preserve">baseline</t>
  </si>
  <si>
    <t xml:space="preserve">3840x2160</t>
  </si>
  <si>
    <t xml:space="preserve">7680x4320</t>
  </si>
  <si>
    <t xml:space="preserve">Does the data movement cost more than the work it distributes?</t>
  </si>
  <si>
    <t xml:space="preserve">The kernel is memory-bandwidth bound (1.5 ops per byte). If moving the image costs more than converting it, no amount of compute scaling can win. Ratio &gt; 1.00 means the communication alone exceeds the entire sequential computation.</t>
  </si>
  <si>
    <t xml:space="preserve">Resolution</t>
  </si>
  <si>
    <t xml:space="preserve">Seq. compute (ms)</t>
  </si>
  <si>
    <t xml:space="preserve">Communication (ms)</t>
  </si>
  <si>
    <t xml:space="preserve">Parallel compute (ms)</t>
  </si>
  <si>
    <t xml:space="preserve">Comm / seq compute</t>
  </si>
  <si>
    <t xml:space="preserve">Conclusion</t>
  </si>
  <si>
    <t xml:space="preserve">Rows with zero communication are the MPI-IO path: every rank reads and writes only its own byte range, so no pixel ever crosses a rank boundary.</t>
  </si>
  <si>
    <t xml:space="preserve">The bill before the first pixel</t>
  </si>
  <si>
    <t xml:space="preserve">MPI_Init + MPI_Finalize, measured by tools/mpi_startup.c, best of 3. This cost is EXCLUDED from every timing in this workbook — the timed region starts after MPI_Init — so the speed-ups elsewhere are generous to MPI. Source: logs/01_environment.log</t>
  </si>
  <si>
    <t xml:space="preserve">Startup (ms)</t>
  </si>
  <si>
    <t xml:space="preserve">HD conversion (ms)</t>
  </si>
  <si>
    <t xml:space="preserve">Startup / conversion</t>
  </si>
  <si>
    <t xml:space="preserve">Meaning</t>
  </si>
  <si>
    <t xml:space="preserve">Startup figures are measured inputs (blue). Column C and D are formulas over the Raw Data sheet, so they follow any change to the measured HD compute time.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</si>
</sst>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00"/>
    <numFmt numFmtId="167" formatCode="0.000"/>
    <numFmt numFmtId="168" formatCode="0.00\x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328"/>
      <name val="Arial"/>
      <family val="0"/>
      <charset val="1"/>
    </font>
    <font>
      <i val="true"/>
      <sz val="9"/>
      <color rgb="FF6A737D"/>
      <name val="Arial"/>
      <family val="0"/>
      <charset val="1"/>
    </font>
    <font>
      <b val="true"/>
      <sz val="10"/>
      <color rgb="FF0F6E77"/>
      <name val="Arial"/>
      <family val="0"/>
      <charset val="1"/>
    </font>
    <font>
      <b val="true"/>
      <sz val="10"/>
      <color rgb="FF1F2328"/>
      <name val="Arial"/>
      <family val="0"/>
      <charset val="1"/>
    </font>
    <font>
      <sz val="10"/>
      <color rgb="FF1F23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F6E77"/>
      <name val="Arial"/>
      <family val="0"/>
      <charset val="1"/>
    </font>
    <font>
      <b val="true"/>
      <sz val="10"/>
      <color rgb="FF1F7A4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6E77"/>
        <bgColor rgb="FF1F7A46"/>
      </patternFill>
    </fill>
    <fill>
      <patternFill patternType="solid">
        <fgColor rgb="FFE4EC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77"/>
      <rgbColor rgb="FFC9CED4"/>
      <rgbColor rgb="FF878787"/>
      <rgbColor rgb="FF9999FF"/>
      <rgbColor rgb="FFBE4B48"/>
      <rgbColor rgb="FFFFFFCC"/>
      <rgbColor rgb="FFE4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7A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A737D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Compute speed-up — 1920x1080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Comparison'!$B$7:$B$10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Comparison'!$D$7:$D$10</c:f>
              <c:numCache>
                <c:formatCode>0.00\x</c:formatCode>
                <c:ptCount val="4"/>
                <c:pt idx="0">
                  <c:v>1.00695931477516</c:v>
                </c:pt>
                <c:pt idx="1">
                  <c:v>1.98208640674394</c:v>
                </c:pt>
                <c:pt idx="2">
                  <c:v>3.08360655737705</c:v>
                </c:pt>
                <c:pt idx="3">
                  <c:v>4.10698689956332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Comparison'!$B$7:$B$10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Comparison'!$F$7:$F$10</c:f>
              <c:numCache>
                <c:formatCode>0.00\x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723019"/>
        <c:axId val="95169135"/>
      </c:lineChart>
      <c:catAx>
        <c:axId val="90723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MPI ranks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69135"/>
        <c:crosses val="autoZero"/>
        <c:auto val="1"/>
        <c:lblAlgn val="ctr"/>
        <c:lblOffset val="100"/>
        <c:noMultiLvlLbl val="0"/>
      </c:catAx>
      <c:valAx>
        <c:axId val="95169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Speed-up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23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Compute speed-up — 3840x2160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Comparison'!$B$20:$B$23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Comparison'!$D$20:$D$23</c:f>
              <c:numCache>
                <c:formatCode>0.00\x</c:formatCode>
                <c:ptCount val="4"/>
                <c:pt idx="0">
                  <c:v>1.01278904534298</c:v>
                </c:pt>
                <c:pt idx="1">
                  <c:v>2.04539525176102</c:v>
                </c:pt>
                <c:pt idx="2">
                  <c:v>3.11358220810167</c:v>
                </c:pt>
                <c:pt idx="3">
                  <c:v>4.1635687732342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Comparison'!$B$20:$B$23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Comparison'!$F$20:$F$23</c:f>
              <c:numCache>
                <c:formatCode>0.00\x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61773"/>
        <c:axId val="93739468"/>
      </c:lineChart>
      <c:catAx>
        <c:axId val="124617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MPI ranks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39468"/>
        <c:crosses val="autoZero"/>
        <c:auto val="1"/>
        <c:lblAlgn val="ctr"/>
        <c:lblOffset val="100"/>
        <c:noMultiLvlLbl val="0"/>
      </c:catAx>
      <c:valAx>
        <c:axId val="93739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Speed-up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61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Compute speed-up — 7680x4320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Comparison'!$B$33:$B$36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Comparison'!$D$33:$D$36</c:f>
              <c:numCache>
                <c:formatCode>0.00\x</c:formatCode>
                <c:ptCount val="4"/>
                <c:pt idx="0">
                  <c:v>0.996976268287468</c:v>
                </c:pt>
                <c:pt idx="1">
                  <c:v>1.99547621958675</c:v>
                </c:pt>
                <c:pt idx="2">
                  <c:v>3.00820200903143</c:v>
                </c:pt>
                <c:pt idx="3">
                  <c:v>3.96814976902504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'Compute Comparison'!$B$33:$B$36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'Compute Comparison'!$F$33:$F$36</c:f>
              <c:numCache>
                <c:formatCode>0.00\x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488036"/>
        <c:axId val="22651362"/>
      </c:lineChart>
      <c:catAx>
        <c:axId val="28488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MPI ranks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51362"/>
        <c:crosses val="autoZero"/>
        <c:auto val="1"/>
        <c:lblAlgn val="ctr"/>
        <c:lblOffset val="100"/>
        <c:noMultiLvlLbl val="0"/>
      </c:catAx>
      <c:valAx>
        <c:axId val="22651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Speed-up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88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MPI fixed startup cost vs. the work it is meant to accelerate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'MPI Startup Cost'!B4</c:f>
              <c:strCache>
                <c:ptCount val="1"/>
                <c:pt idx="0">
                  <c:v>Startup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'MPI Startup Cost'!$A$5:$A$8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'MPI Startup Cost'!$B$5:$B$8</c:f>
              <c:numCache>
                <c:formatCode>0.000</c:formatCode>
                <c:ptCount val="4"/>
                <c:pt idx="0">
                  <c:v>291.995</c:v>
                </c:pt>
                <c:pt idx="1">
                  <c:v>327.197</c:v>
                </c:pt>
                <c:pt idx="2">
                  <c:v>364.955</c:v>
                </c:pt>
                <c:pt idx="3">
                  <c:v>391.592</c:v>
                </c:pt>
              </c:numCache>
            </c:numRef>
          </c:val>
        </c:ser>
        <c:ser>
          <c:idx val="1"/>
          <c:order val="1"/>
          <c:tx>
            <c:strRef>
              <c:f>'MPI Startup Cost'!C4</c:f>
              <c:strCache>
                <c:ptCount val="1"/>
                <c:pt idx="0">
                  <c:v>HD conversion (ms)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'MPI Startup Cost'!$A$5:$A$8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'MPI Startup Cost'!$C$5:$C$8</c:f>
              <c:numCache>
                <c:formatCode>0.000</c:formatCode>
                <c:ptCount val="4"/>
                <c:pt idx="0">
                  <c:v>1.881</c:v>
                </c:pt>
                <c:pt idx="1">
                  <c:v>1.881</c:v>
                </c:pt>
                <c:pt idx="2">
                  <c:v>1.881</c:v>
                </c:pt>
                <c:pt idx="3">
                  <c:v>1.881</c:v>
                </c:pt>
              </c:numCache>
            </c:numRef>
          </c:val>
        </c:ser>
        <c:gapWidth val="150"/>
        <c:overlap val="0"/>
        <c:axId val="37011599"/>
        <c:axId val="55123546"/>
      </c:barChart>
      <c:catAx>
        <c:axId val="37011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MPI ranks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23546"/>
        <c:crosses val="autoZero"/>
        <c:auto val="1"/>
        <c:lblAlgn val="ctr"/>
        <c:lblOffset val="100"/>
        <c:noMultiLvlLbl val="0"/>
      </c:catAx>
      <c:valAx>
        <c:axId val="5512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Milliseconds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11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14</xdr:col>
      <xdr:colOff>126720</xdr:colOff>
      <xdr:row>16</xdr:row>
      <xdr:rowOff>85320</xdr:rowOff>
    </xdr:to>
    <xdr:graphicFrame>
      <xdr:nvGraphicFramePr>
        <xdr:cNvPr id="0" name="Chart 1"/>
        <xdr:cNvGraphicFramePr/>
      </xdr:nvGraphicFramePr>
      <xdr:xfrm>
        <a:off x="11160000" y="76212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160560</xdr:rowOff>
    </xdr:from>
    <xdr:to>
      <xdr:col>14</xdr:col>
      <xdr:colOff>126720</xdr:colOff>
      <xdr:row>29</xdr:row>
      <xdr:rowOff>85320</xdr:rowOff>
    </xdr:to>
    <xdr:graphicFrame>
      <xdr:nvGraphicFramePr>
        <xdr:cNvPr id="1" name="Chart 2"/>
        <xdr:cNvGraphicFramePr/>
      </xdr:nvGraphicFramePr>
      <xdr:xfrm>
        <a:off x="11160000" y="342900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29</xdr:row>
      <xdr:rowOff>160560</xdr:rowOff>
    </xdr:from>
    <xdr:to>
      <xdr:col>14</xdr:col>
      <xdr:colOff>126720</xdr:colOff>
      <xdr:row>42</xdr:row>
      <xdr:rowOff>85320</xdr:rowOff>
    </xdr:to>
    <xdr:graphicFrame>
      <xdr:nvGraphicFramePr>
        <xdr:cNvPr id="2" name="Chart 3"/>
        <xdr:cNvGraphicFramePr/>
      </xdr:nvGraphicFramePr>
      <xdr:xfrm>
        <a:off x="11160000" y="60958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13</xdr:col>
      <xdr:colOff>87840</xdr:colOff>
      <xdr:row>16</xdr:row>
      <xdr:rowOff>182880</xdr:rowOff>
    </xdr:to>
    <xdr:graphicFrame>
      <xdr:nvGraphicFramePr>
        <xdr:cNvPr id="3" name="Chart 1"/>
        <xdr:cNvGraphicFramePr/>
      </xdr:nvGraphicFramePr>
      <xdr:xfrm>
        <a:off x="1036008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 t="s">
        <v>24</v>
      </c>
      <c r="B17" s="5" t="s">
        <v>25</v>
      </c>
    </row>
    <row r="19" customFormat="false" ht="15" hidden="false" customHeight="false" outlineLevel="0" collapsed="false">
      <c r="A19" s="3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 t="s">
        <v>33</v>
      </c>
      <c r="B23" s="5" t="s">
        <v>34</v>
      </c>
    </row>
    <row r="25" customFormat="false" ht="15" hidden="false" customHeight="false" outlineLevel="0" collapsed="false">
      <c r="A25" s="3" t="s">
        <v>35</v>
      </c>
    </row>
    <row r="26" customFormat="false" ht="15" hidden="false" customHeight="false" outlineLevel="0" collapsed="false">
      <c r="A26" s="4" t="s">
        <v>36</v>
      </c>
      <c r="B26" s="5" t="s">
        <v>37</v>
      </c>
    </row>
    <row r="27" customFormat="false" ht="15" hidden="false" customHeight="false" outlineLevel="0" collapsed="false">
      <c r="A27" s="4" t="s">
        <v>38</v>
      </c>
      <c r="B27" s="5" t="s">
        <v>39</v>
      </c>
    </row>
    <row r="28" customFormat="false" ht="15" hidden="false" customHeight="false" outlineLevel="0" collapsed="false">
      <c r="A28" s="4" t="s">
        <v>40</v>
      </c>
      <c r="B28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11" min="6" style="0" width="11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0" hidden="false" customHeight="tru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54</v>
      </c>
    </row>
    <row r="5" customFormat="false" ht="15" hidden="false" customHeight="false" outlineLevel="0" collapsed="false">
      <c r="A5" s="7" t="s">
        <v>55</v>
      </c>
      <c r="B5" s="8" t="n">
        <v>1</v>
      </c>
      <c r="C5" s="8" t="n">
        <v>1920</v>
      </c>
      <c r="D5" s="8" t="n">
        <v>1080</v>
      </c>
      <c r="E5" s="8" t="n">
        <v>2073600</v>
      </c>
      <c r="F5" s="9" t="n">
        <v>0.002314</v>
      </c>
      <c r="G5" s="9"/>
      <c r="H5" s="9" t="n">
        <v>0.001881</v>
      </c>
      <c r="I5" s="9"/>
      <c r="J5" s="9" t="n">
        <v>0.000823</v>
      </c>
      <c r="K5" s="9" t="n">
        <v>0.005018</v>
      </c>
    </row>
    <row r="6" customFormat="false" ht="15" hidden="false" customHeight="false" outlineLevel="0" collapsed="false">
      <c r="A6" s="7" t="s">
        <v>56</v>
      </c>
      <c r="B6" s="8" t="n">
        <v>1</v>
      </c>
      <c r="C6" s="8" t="n">
        <v>1920</v>
      </c>
      <c r="D6" s="8" t="n">
        <v>1080</v>
      </c>
      <c r="E6" s="8" t="n">
        <v>2073600</v>
      </c>
      <c r="F6" s="9" t="n">
        <v>0.00295</v>
      </c>
      <c r="G6" s="9" t="n">
        <v>0.003266</v>
      </c>
      <c r="H6" s="9" t="n">
        <v>0.001868</v>
      </c>
      <c r="I6" s="9" t="n">
        <v>0.000971</v>
      </c>
      <c r="J6" s="9" t="n">
        <v>0.000804</v>
      </c>
      <c r="K6" s="9" t="n">
        <v>0.00988</v>
      </c>
    </row>
    <row r="7" customFormat="false" ht="15" hidden="false" customHeight="false" outlineLevel="0" collapsed="false">
      <c r="A7" s="7" t="s">
        <v>57</v>
      </c>
      <c r="B7" s="8" t="n">
        <v>1</v>
      </c>
      <c r="C7" s="8" t="n">
        <v>1920</v>
      </c>
      <c r="D7" s="8" t="n">
        <v>1080</v>
      </c>
      <c r="E7" s="8" t="n">
        <v>2073600</v>
      </c>
      <c r="F7" s="9" t="n">
        <v>0.00444</v>
      </c>
      <c r="G7" s="9" t="n">
        <v>0</v>
      </c>
      <c r="H7" s="9" t="n">
        <v>0.001877</v>
      </c>
      <c r="I7" s="9" t="n">
        <v>0</v>
      </c>
      <c r="J7" s="9" t="n">
        <v>0.001149</v>
      </c>
      <c r="K7" s="9" t="n">
        <v>0.007475</v>
      </c>
    </row>
    <row r="8" customFormat="false" ht="15" hidden="false" customHeight="false" outlineLevel="0" collapsed="false">
      <c r="A8" s="7" t="s">
        <v>56</v>
      </c>
      <c r="B8" s="8" t="n">
        <v>2</v>
      </c>
      <c r="C8" s="8" t="n">
        <v>1920</v>
      </c>
      <c r="D8" s="8" t="n">
        <v>1080</v>
      </c>
      <c r="E8" s="8" t="n">
        <v>2073600</v>
      </c>
      <c r="F8" s="9" t="n">
        <v>0.002944</v>
      </c>
      <c r="G8" s="9" t="n">
        <v>0.003461</v>
      </c>
      <c r="H8" s="9" t="n">
        <v>0.000949</v>
      </c>
      <c r="I8" s="9" t="n">
        <v>0.001233</v>
      </c>
      <c r="J8" s="9" t="n">
        <v>0.00084</v>
      </c>
      <c r="K8" s="9" t="n">
        <v>0.009321</v>
      </c>
    </row>
    <row r="9" customFormat="false" ht="15" hidden="false" customHeight="false" outlineLevel="0" collapsed="false">
      <c r="A9" s="7" t="s">
        <v>57</v>
      </c>
      <c r="B9" s="8" t="n">
        <v>2</v>
      </c>
      <c r="C9" s="8" t="n">
        <v>1920</v>
      </c>
      <c r="D9" s="8" t="n">
        <v>1080</v>
      </c>
      <c r="E9" s="8" t="n">
        <v>2073600</v>
      </c>
      <c r="F9" s="9" t="n">
        <v>0.003485</v>
      </c>
      <c r="G9" s="9" t="n">
        <v>0</v>
      </c>
      <c r="H9" s="9" t="n">
        <v>0.000925</v>
      </c>
      <c r="I9" s="9" t="n">
        <v>0</v>
      </c>
      <c r="J9" s="9" t="n">
        <v>0.001275</v>
      </c>
      <c r="K9" s="9" t="n">
        <v>0.005696</v>
      </c>
    </row>
    <row r="10" customFormat="false" ht="15" hidden="false" customHeight="false" outlineLevel="0" collapsed="false">
      <c r="A10" s="7" t="s">
        <v>56</v>
      </c>
      <c r="B10" s="8" t="n">
        <v>3</v>
      </c>
      <c r="C10" s="8" t="n">
        <v>1920</v>
      </c>
      <c r="D10" s="8" t="n">
        <v>1080</v>
      </c>
      <c r="E10" s="8" t="n">
        <v>2073600</v>
      </c>
      <c r="F10" s="9" t="n">
        <v>0.002992</v>
      </c>
      <c r="G10" s="9" t="n">
        <v>0.003598</v>
      </c>
      <c r="H10" s="9" t="n">
        <v>0.00061</v>
      </c>
      <c r="I10" s="9" t="n">
        <v>0.001593</v>
      </c>
      <c r="J10" s="9" t="n">
        <v>0.000809</v>
      </c>
      <c r="K10" s="9" t="n">
        <v>0.009108</v>
      </c>
    </row>
    <row r="11" customFormat="false" ht="15" hidden="false" customHeight="false" outlineLevel="0" collapsed="false">
      <c r="A11" s="7" t="s">
        <v>57</v>
      </c>
      <c r="B11" s="8" t="n">
        <v>3</v>
      </c>
      <c r="C11" s="8" t="n">
        <v>1920</v>
      </c>
      <c r="D11" s="8" t="n">
        <v>1080</v>
      </c>
      <c r="E11" s="8" t="n">
        <v>2073600</v>
      </c>
      <c r="F11" s="9" t="n">
        <v>0.006422</v>
      </c>
      <c r="G11" s="9" t="n">
        <v>0</v>
      </c>
      <c r="H11" s="9" t="n">
        <v>0.000616</v>
      </c>
      <c r="I11" s="9" t="n">
        <v>0</v>
      </c>
      <c r="J11" s="9" t="n">
        <v>0.002562</v>
      </c>
      <c r="K11" s="9" t="n">
        <v>0.009606</v>
      </c>
    </row>
    <row r="12" customFormat="false" ht="15" hidden="false" customHeight="false" outlineLevel="0" collapsed="false">
      <c r="A12" s="7" t="s">
        <v>56</v>
      </c>
      <c r="B12" s="8" t="n">
        <v>4</v>
      </c>
      <c r="C12" s="8" t="n">
        <v>1920</v>
      </c>
      <c r="D12" s="8" t="n">
        <v>1080</v>
      </c>
      <c r="E12" s="8" t="n">
        <v>2073600</v>
      </c>
      <c r="F12" s="9" t="n">
        <v>0.003122</v>
      </c>
      <c r="G12" s="9" t="n">
        <v>0.003687</v>
      </c>
      <c r="H12" s="9" t="n">
        <v>0.000458</v>
      </c>
      <c r="I12" s="9" t="n">
        <v>0.002241</v>
      </c>
      <c r="J12" s="9" t="n">
        <v>0.000782</v>
      </c>
      <c r="K12" s="9" t="n">
        <v>0.009296</v>
      </c>
    </row>
    <row r="13" customFormat="false" ht="15" hidden="false" customHeight="false" outlineLevel="0" collapsed="false">
      <c r="A13" s="7" t="s">
        <v>57</v>
      </c>
      <c r="B13" s="8" t="n">
        <v>4</v>
      </c>
      <c r="C13" s="8" t="n">
        <v>1920</v>
      </c>
      <c r="D13" s="8" t="n">
        <v>1080</v>
      </c>
      <c r="E13" s="8" t="n">
        <v>2073600</v>
      </c>
      <c r="F13" s="9" t="n">
        <v>0.00658</v>
      </c>
      <c r="G13" s="9" t="n">
        <v>0</v>
      </c>
      <c r="H13" s="9" t="n">
        <v>0.000458</v>
      </c>
      <c r="I13" s="9" t="n">
        <v>0</v>
      </c>
      <c r="J13" s="9" t="n">
        <v>0.003456</v>
      </c>
      <c r="K13" s="9" t="n">
        <v>0.010492</v>
      </c>
    </row>
    <row r="14" customFormat="false" ht="15" hidden="false" customHeight="false" outlineLevel="0" collapsed="false">
      <c r="A14" s="7" t="s">
        <v>55</v>
      </c>
      <c r="B14" s="8" t="n">
        <v>1</v>
      </c>
      <c r="C14" s="8" t="n">
        <v>3840</v>
      </c>
      <c r="D14" s="8" t="n">
        <v>2160</v>
      </c>
      <c r="E14" s="8" t="n">
        <v>8294400</v>
      </c>
      <c r="F14" s="9" t="n">
        <v>0.010439</v>
      </c>
      <c r="G14" s="9"/>
      <c r="H14" s="9" t="n">
        <v>0.00784</v>
      </c>
      <c r="I14" s="9"/>
      <c r="J14" s="9" t="n">
        <v>0.002839</v>
      </c>
      <c r="K14" s="9" t="n">
        <v>0.021118</v>
      </c>
    </row>
    <row r="15" customFormat="false" ht="15" hidden="false" customHeight="false" outlineLevel="0" collapsed="false">
      <c r="A15" s="7" t="s">
        <v>56</v>
      </c>
      <c r="B15" s="8" t="n">
        <v>1</v>
      </c>
      <c r="C15" s="8" t="n">
        <v>3840</v>
      </c>
      <c r="D15" s="8" t="n">
        <v>2160</v>
      </c>
      <c r="E15" s="8" t="n">
        <v>8294400</v>
      </c>
      <c r="F15" s="9" t="n">
        <v>0.010997</v>
      </c>
      <c r="G15" s="9" t="n">
        <v>0.012844</v>
      </c>
      <c r="H15" s="9" t="n">
        <v>0.007741</v>
      </c>
      <c r="I15" s="9" t="n">
        <v>0.004212</v>
      </c>
      <c r="J15" s="9" t="n">
        <v>0.002594</v>
      </c>
      <c r="K15" s="9" t="n">
        <v>0.038425</v>
      </c>
    </row>
    <row r="16" customFormat="false" ht="15" hidden="false" customHeight="false" outlineLevel="0" collapsed="false">
      <c r="A16" s="7" t="s">
        <v>57</v>
      </c>
      <c r="B16" s="8" t="n">
        <v>1</v>
      </c>
      <c r="C16" s="8" t="n">
        <v>3840</v>
      </c>
      <c r="D16" s="8" t="n">
        <v>2160</v>
      </c>
      <c r="E16" s="8" t="n">
        <v>8294400</v>
      </c>
      <c r="F16" s="9" t="n">
        <v>0.012499</v>
      </c>
      <c r="G16" s="9" t="n">
        <v>0</v>
      </c>
      <c r="H16" s="9" t="n">
        <v>0.0077</v>
      </c>
      <c r="I16" s="9" t="n">
        <v>0</v>
      </c>
      <c r="J16" s="9" t="n">
        <v>0.002719</v>
      </c>
      <c r="K16" s="9" t="n">
        <v>0.02293</v>
      </c>
    </row>
    <row r="17" customFormat="false" ht="15" hidden="false" customHeight="false" outlineLevel="0" collapsed="false">
      <c r="A17" s="7" t="s">
        <v>56</v>
      </c>
      <c r="B17" s="8" t="n">
        <v>2</v>
      </c>
      <c r="C17" s="8" t="n">
        <v>3840</v>
      </c>
      <c r="D17" s="8" t="n">
        <v>2160</v>
      </c>
      <c r="E17" s="8" t="n">
        <v>8294400</v>
      </c>
      <c r="F17" s="9" t="n">
        <v>0.011206</v>
      </c>
      <c r="G17" s="9" t="n">
        <v>0.013843</v>
      </c>
      <c r="H17" s="9" t="n">
        <v>0.003833</v>
      </c>
      <c r="I17" s="9" t="n">
        <v>0.004417</v>
      </c>
      <c r="J17" s="9" t="n">
        <v>0.002516</v>
      </c>
      <c r="K17" s="9" t="n">
        <v>0.035835</v>
      </c>
    </row>
    <row r="18" customFormat="false" ht="15" hidden="false" customHeight="false" outlineLevel="0" collapsed="false">
      <c r="A18" s="7" t="s">
        <v>57</v>
      </c>
      <c r="B18" s="8" t="n">
        <v>2</v>
      </c>
      <c r="C18" s="8" t="n">
        <v>3840</v>
      </c>
      <c r="D18" s="8" t="n">
        <v>2160</v>
      </c>
      <c r="E18" s="8" t="n">
        <v>8294400</v>
      </c>
      <c r="F18" s="9" t="n">
        <v>0.008793</v>
      </c>
      <c r="G18" s="9" t="n">
        <v>0</v>
      </c>
      <c r="H18" s="9" t="n">
        <v>0.003841</v>
      </c>
      <c r="I18" s="9" t="n">
        <v>0</v>
      </c>
      <c r="J18" s="9" t="n">
        <v>0.006577</v>
      </c>
      <c r="K18" s="9" t="n">
        <v>0.019207</v>
      </c>
    </row>
    <row r="19" customFormat="false" ht="15" hidden="false" customHeight="false" outlineLevel="0" collapsed="false">
      <c r="A19" s="7" t="s">
        <v>56</v>
      </c>
      <c r="B19" s="8" t="n">
        <v>3</v>
      </c>
      <c r="C19" s="8" t="n">
        <v>3840</v>
      </c>
      <c r="D19" s="8" t="n">
        <v>2160</v>
      </c>
      <c r="E19" s="8" t="n">
        <v>8294400</v>
      </c>
      <c r="F19" s="9" t="n">
        <v>0.011091</v>
      </c>
      <c r="G19" s="9" t="n">
        <v>0.01321</v>
      </c>
      <c r="H19" s="9" t="n">
        <v>0.002518</v>
      </c>
      <c r="I19" s="9" t="n">
        <v>0.005946</v>
      </c>
      <c r="J19" s="9" t="n">
        <v>0.002581</v>
      </c>
      <c r="K19" s="9" t="n">
        <v>0.033479</v>
      </c>
    </row>
    <row r="20" customFormat="false" ht="15" hidden="false" customHeight="false" outlineLevel="0" collapsed="false">
      <c r="A20" s="7" t="s">
        <v>57</v>
      </c>
      <c r="B20" s="8" t="n">
        <v>3</v>
      </c>
      <c r="C20" s="8" t="n">
        <v>3840</v>
      </c>
      <c r="D20" s="8" t="n">
        <v>2160</v>
      </c>
      <c r="E20" s="8" t="n">
        <v>8294400</v>
      </c>
      <c r="F20" s="9" t="n">
        <v>0.018996</v>
      </c>
      <c r="G20" s="9" t="n">
        <v>0</v>
      </c>
      <c r="H20" s="9" t="n">
        <v>0.002528</v>
      </c>
      <c r="I20" s="9" t="n">
        <v>0</v>
      </c>
      <c r="J20" s="9" t="n">
        <v>0.008736</v>
      </c>
      <c r="K20" s="9" t="n">
        <v>0.030249</v>
      </c>
    </row>
    <row r="21" customFormat="false" ht="15" hidden="false" customHeight="false" outlineLevel="0" collapsed="false">
      <c r="A21" s="7" t="s">
        <v>56</v>
      </c>
      <c r="B21" s="8" t="n">
        <v>4</v>
      </c>
      <c r="C21" s="8" t="n">
        <v>3840</v>
      </c>
      <c r="D21" s="8" t="n">
        <v>2160</v>
      </c>
      <c r="E21" s="8" t="n">
        <v>8294400</v>
      </c>
      <c r="F21" s="9" t="n">
        <v>0.011168</v>
      </c>
      <c r="G21" s="9" t="n">
        <v>0.014383</v>
      </c>
      <c r="H21" s="9" t="n">
        <v>0.001883</v>
      </c>
      <c r="I21" s="9" t="n">
        <v>0.008762</v>
      </c>
      <c r="J21" s="9" t="n">
        <v>0.002612</v>
      </c>
      <c r="K21" s="9" t="n">
        <v>0.034734</v>
      </c>
    </row>
    <row r="22" customFormat="false" ht="15" hidden="false" customHeight="false" outlineLevel="0" collapsed="false">
      <c r="A22" s="7" t="s">
        <v>57</v>
      </c>
      <c r="B22" s="8" t="n">
        <v>4</v>
      </c>
      <c r="C22" s="8" t="n">
        <v>3840</v>
      </c>
      <c r="D22" s="8" t="n">
        <v>2160</v>
      </c>
      <c r="E22" s="8" t="n">
        <v>8294400</v>
      </c>
      <c r="F22" s="9" t="n">
        <v>0.018469</v>
      </c>
      <c r="G22" s="9" t="n">
        <v>0</v>
      </c>
      <c r="H22" s="9" t="n">
        <v>0.001885</v>
      </c>
      <c r="I22" s="9" t="n">
        <v>0</v>
      </c>
      <c r="J22" s="9" t="n">
        <v>0.009648</v>
      </c>
      <c r="K22" s="9" t="n">
        <v>0.030012</v>
      </c>
    </row>
    <row r="23" customFormat="false" ht="15" hidden="false" customHeight="false" outlineLevel="0" collapsed="false">
      <c r="A23" s="7" t="s">
        <v>55</v>
      </c>
      <c r="B23" s="8" t="n">
        <v>1</v>
      </c>
      <c r="C23" s="8" t="n">
        <v>7680</v>
      </c>
      <c r="D23" s="8" t="n">
        <v>4320</v>
      </c>
      <c r="E23" s="8" t="n">
        <v>33177600</v>
      </c>
      <c r="F23" s="9" t="n">
        <v>0.04498</v>
      </c>
      <c r="G23" s="9"/>
      <c r="H23" s="9" t="n">
        <v>0.032642</v>
      </c>
      <c r="I23" s="9"/>
      <c r="J23" s="9" t="n">
        <v>0.010561</v>
      </c>
      <c r="K23" s="9" t="n">
        <v>0.088183</v>
      </c>
    </row>
    <row r="24" customFormat="false" ht="15" hidden="false" customHeight="false" outlineLevel="0" collapsed="false">
      <c r="A24" s="7" t="s">
        <v>56</v>
      </c>
      <c r="B24" s="8" t="n">
        <v>1</v>
      </c>
      <c r="C24" s="8" t="n">
        <v>7680</v>
      </c>
      <c r="D24" s="8" t="n">
        <v>4320</v>
      </c>
      <c r="E24" s="8" t="n">
        <v>33177600</v>
      </c>
      <c r="F24" s="9" t="n">
        <v>0.044394</v>
      </c>
      <c r="G24" s="9" t="n">
        <v>0.051057</v>
      </c>
      <c r="H24" s="9" t="n">
        <v>0.032741</v>
      </c>
      <c r="I24" s="9" t="n">
        <v>0.017207</v>
      </c>
      <c r="J24" s="9" t="n">
        <v>0.009398</v>
      </c>
      <c r="K24" s="9" t="n">
        <v>0.154851</v>
      </c>
    </row>
    <row r="25" customFormat="false" ht="15" hidden="false" customHeight="false" outlineLevel="0" collapsed="false">
      <c r="A25" s="7" t="s">
        <v>57</v>
      </c>
      <c r="B25" s="8" t="n">
        <v>1</v>
      </c>
      <c r="C25" s="8" t="n">
        <v>7680</v>
      </c>
      <c r="D25" s="8" t="n">
        <v>4320</v>
      </c>
      <c r="E25" s="8" t="n">
        <v>33177600</v>
      </c>
      <c r="F25" s="9" t="n">
        <v>0.045367</v>
      </c>
      <c r="G25" s="9" t="n">
        <v>0</v>
      </c>
      <c r="H25" s="9" t="n">
        <v>0.032118</v>
      </c>
      <c r="I25" s="9" t="n">
        <v>0</v>
      </c>
      <c r="J25" s="9" t="n">
        <v>0.009571</v>
      </c>
      <c r="K25" s="9" t="n">
        <v>0.087096</v>
      </c>
    </row>
    <row r="26" customFormat="false" ht="15" hidden="false" customHeight="false" outlineLevel="0" collapsed="false">
      <c r="A26" s="7" t="s">
        <v>56</v>
      </c>
      <c r="B26" s="8" t="n">
        <v>2</v>
      </c>
      <c r="C26" s="8" t="n">
        <v>7680</v>
      </c>
      <c r="D26" s="8" t="n">
        <v>4320</v>
      </c>
      <c r="E26" s="8" t="n">
        <v>33177600</v>
      </c>
      <c r="F26" s="9" t="n">
        <v>0.045849</v>
      </c>
      <c r="G26" s="9" t="n">
        <v>0.050865</v>
      </c>
      <c r="H26" s="9" t="n">
        <v>0.016358</v>
      </c>
      <c r="I26" s="9" t="n">
        <v>0.016284</v>
      </c>
      <c r="J26" s="9" t="n">
        <v>0.009895</v>
      </c>
      <c r="K26" s="9" t="n">
        <v>0.13912</v>
      </c>
    </row>
    <row r="27" customFormat="false" ht="15" hidden="false" customHeight="false" outlineLevel="0" collapsed="false">
      <c r="A27" s="7" t="s">
        <v>57</v>
      </c>
      <c r="B27" s="8" t="n">
        <v>2</v>
      </c>
      <c r="C27" s="8" t="n">
        <v>7680</v>
      </c>
      <c r="D27" s="8" t="n">
        <v>4320</v>
      </c>
      <c r="E27" s="8" t="n">
        <v>33177600</v>
      </c>
      <c r="F27" s="9" t="n">
        <v>0.024978</v>
      </c>
      <c r="G27" s="9" t="n">
        <v>0</v>
      </c>
      <c r="H27" s="9" t="n">
        <v>0.016256</v>
      </c>
      <c r="I27" s="9" t="n">
        <v>0</v>
      </c>
      <c r="J27" s="9" t="n">
        <v>0.01068</v>
      </c>
      <c r="K27" s="9" t="n">
        <v>0.051928</v>
      </c>
    </row>
    <row r="28" customFormat="false" ht="15" hidden="false" customHeight="false" outlineLevel="0" collapsed="false">
      <c r="A28" s="7" t="s">
        <v>56</v>
      </c>
      <c r="B28" s="8" t="n">
        <v>3</v>
      </c>
      <c r="C28" s="8" t="n">
        <v>7680</v>
      </c>
      <c r="D28" s="8" t="n">
        <v>4320</v>
      </c>
      <c r="E28" s="8" t="n">
        <v>33177600</v>
      </c>
      <c r="F28" s="9" t="n">
        <v>0.045882</v>
      </c>
      <c r="G28" s="9" t="n">
        <v>0.04869</v>
      </c>
      <c r="H28" s="9" t="n">
        <v>0.010851</v>
      </c>
      <c r="I28" s="9" t="n">
        <v>0.030952</v>
      </c>
      <c r="J28" s="9" t="n">
        <v>0.009844</v>
      </c>
      <c r="K28" s="9" t="n">
        <v>0.131128</v>
      </c>
    </row>
    <row r="29" customFormat="false" ht="15" hidden="false" customHeight="false" outlineLevel="0" collapsed="false">
      <c r="A29" s="7" t="s">
        <v>57</v>
      </c>
      <c r="B29" s="8" t="n">
        <v>3</v>
      </c>
      <c r="C29" s="8" t="n">
        <v>7680</v>
      </c>
      <c r="D29" s="8" t="n">
        <v>4320</v>
      </c>
      <c r="E29" s="8" t="n">
        <v>33177600</v>
      </c>
      <c r="F29" s="9" t="n">
        <v>0.090747</v>
      </c>
      <c r="G29" s="9" t="n">
        <v>0</v>
      </c>
      <c r="H29" s="9" t="n">
        <v>0.010876</v>
      </c>
      <c r="I29" s="9" t="n">
        <v>0</v>
      </c>
      <c r="J29" s="9" t="n">
        <v>0.048672</v>
      </c>
      <c r="K29" s="9" t="n">
        <v>0.150179</v>
      </c>
    </row>
    <row r="30" customFormat="false" ht="15" hidden="false" customHeight="false" outlineLevel="0" collapsed="false">
      <c r="A30" s="7" t="s">
        <v>56</v>
      </c>
      <c r="B30" s="8" t="n">
        <v>4</v>
      </c>
      <c r="C30" s="8" t="n">
        <v>7680</v>
      </c>
      <c r="D30" s="8" t="n">
        <v>4320</v>
      </c>
      <c r="E30" s="8" t="n">
        <v>33177600</v>
      </c>
      <c r="F30" s="9" t="n">
        <v>0.044069</v>
      </c>
      <c r="G30" s="9" t="n">
        <v>0.048863</v>
      </c>
      <c r="H30" s="9" t="n">
        <v>0.008226</v>
      </c>
      <c r="I30" s="9" t="n">
        <v>0.035099</v>
      </c>
      <c r="J30" s="9" t="n">
        <v>0.010188</v>
      </c>
      <c r="K30" s="9" t="n">
        <v>0.12728</v>
      </c>
    </row>
    <row r="31" customFormat="false" ht="15" hidden="false" customHeight="false" outlineLevel="0" collapsed="false">
      <c r="A31" s="7" t="s">
        <v>57</v>
      </c>
      <c r="B31" s="8" t="n">
        <v>4</v>
      </c>
      <c r="C31" s="8" t="n">
        <v>7680</v>
      </c>
      <c r="D31" s="8" t="n">
        <v>4320</v>
      </c>
      <c r="E31" s="8" t="n">
        <v>33177600</v>
      </c>
      <c r="F31" s="9" t="n">
        <v>0.074951</v>
      </c>
      <c r="G31" s="9" t="n">
        <v>0</v>
      </c>
      <c r="H31" s="9" t="n">
        <v>0.008091</v>
      </c>
      <c r="I31" s="9" t="n">
        <v>0</v>
      </c>
      <c r="J31" s="9" t="n">
        <v>0.041115</v>
      </c>
      <c r="K31" s="9" t="n">
        <v>0.122616</v>
      </c>
    </row>
    <row r="33" customFormat="false" ht="15" hidden="false" customHeight="false" outlineLevel="0" collapsed="false">
      <c r="A33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0" t="s">
        <v>61</v>
      </c>
    </row>
    <row r="5" customFormat="false" ht="30" hidden="false" customHeight="true" outlineLevel="0" collapsed="false">
      <c r="A5" s="6" t="s">
        <v>62</v>
      </c>
      <c r="B5" s="6" t="s">
        <v>63</v>
      </c>
      <c r="C5" s="6" t="s">
        <v>64</v>
      </c>
      <c r="D5" s="6" t="s">
        <v>65</v>
      </c>
      <c r="E5" s="6" t="s">
        <v>24</v>
      </c>
      <c r="F5" s="6" t="s">
        <v>66</v>
      </c>
      <c r="G5" s="6" t="s">
        <v>67</v>
      </c>
    </row>
    <row r="6" customFormat="false" ht="15" hidden="false" customHeight="false" outlineLevel="0" collapsed="false">
      <c r="A6" s="11" t="s">
        <v>68</v>
      </c>
      <c r="B6" s="7" t="n">
        <v>1</v>
      </c>
      <c r="C6" s="12" t="n">
        <f aca="false">'Raw Data'!H5*1000</f>
        <v>1.881</v>
      </c>
      <c r="D6" s="13" t="n">
        <v>1</v>
      </c>
      <c r="E6" s="14" t="n">
        <v>1</v>
      </c>
      <c r="F6" s="13" t="n">
        <v>1</v>
      </c>
      <c r="G6" s="7"/>
    </row>
    <row r="7" customFormat="false" ht="15" hidden="false" customHeight="false" outlineLevel="0" collapsed="false">
      <c r="A7" s="7" t="s">
        <v>69</v>
      </c>
      <c r="B7" s="7" t="n">
        <v>1</v>
      </c>
      <c r="C7" s="12" t="n">
        <f aca="false">'Raw Data'!H6*1000</f>
        <v>1.868</v>
      </c>
      <c r="D7" s="15" t="n">
        <f aca="false">'Raw Data'!H5*1000/C7</f>
        <v>1.00695931477516</v>
      </c>
      <c r="E7" s="14" t="n">
        <f aca="false">D7/B7</f>
        <v>1.00695931477516</v>
      </c>
      <c r="F7" s="13" t="n">
        <f aca="false">B7</f>
        <v>1</v>
      </c>
      <c r="G7" s="7" t="str">
        <f aca="false">IF(E7&gt;=1.02,"superlinear — cache effect",IF(E7&gt;=0.95,"near-ideal scaling",IF(E7&gt;=0.9,"good scaling","efficiency loss")))</f>
        <v>near-ideal scaling</v>
      </c>
    </row>
    <row r="8" customFormat="false" ht="15" hidden="false" customHeight="false" outlineLevel="0" collapsed="false">
      <c r="A8" s="7" t="s">
        <v>69</v>
      </c>
      <c r="B8" s="7" t="n">
        <v>2</v>
      </c>
      <c r="C8" s="12" t="n">
        <f aca="false">'Raw Data'!H8*1000</f>
        <v>0.949</v>
      </c>
      <c r="D8" s="15" t="n">
        <f aca="false">'Raw Data'!H5*1000/C8</f>
        <v>1.98208640674394</v>
      </c>
      <c r="E8" s="14" t="n">
        <f aca="false">D8/B8</f>
        <v>0.991043203371971</v>
      </c>
      <c r="F8" s="13" t="n">
        <f aca="false">B8</f>
        <v>2</v>
      </c>
      <c r="G8" s="7" t="str">
        <f aca="false">IF(E8&gt;=1.02,"superlinear — cache effect",IF(E8&gt;=0.95,"near-ideal scaling",IF(E8&gt;=0.9,"good scaling","efficiency loss")))</f>
        <v>near-ideal scaling</v>
      </c>
    </row>
    <row r="9" customFormat="false" ht="15" hidden="false" customHeight="false" outlineLevel="0" collapsed="false">
      <c r="A9" s="7" t="s">
        <v>69</v>
      </c>
      <c r="B9" s="7" t="n">
        <v>3</v>
      </c>
      <c r="C9" s="12" t="n">
        <f aca="false">'Raw Data'!H10*1000</f>
        <v>0.61</v>
      </c>
      <c r="D9" s="15" t="n">
        <f aca="false">'Raw Data'!H5*1000/C9</f>
        <v>3.08360655737705</v>
      </c>
      <c r="E9" s="14" t="n">
        <f aca="false">D9/B9</f>
        <v>1.02786885245902</v>
      </c>
      <c r="F9" s="13" t="n">
        <f aca="false">B9</f>
        <v>3</v>
      </c>
      <c r="G9" s="7" t="str">
        <f aca="false">IF(E9&gt;=1.02,"superlinear — cache effect",IF(E9&gt;=0.95,"near-ideal scaling",IF(E9&gt;=0.9,"good scaling","efficiency loss")))</f>
        <v>superlinear — cache effect</v>
      </c>
    </row>
    <row r="10" customFormat="false" ht="15" hidden="false" customHeight="false" outlineLevel="0" collapsed="false">
      <c r="A10" s="7" t="s">
        <v>69</v>
      </c>
      <c r="B10" s="7" t="n">
        <v>4</v>
      </c>
      <c r="C10" s="12" t="n">
        <f aca="false">'Raw Data'!H12*1000</f>
        <v>0.458</v>
      </c>
      <c r="D10" s="15" t="n">
        <f aca="false">'Raw Data'!H5*1000/C10</f>
        <v>4.10698689956332</v>
      </c>
      <c r="E10" s="14" t="n">
        <f aca="false">D10/B10</f>
        <v>1.02674672489083</v>
      </c>
      <c r="F10" s="13" t="n">
        <f aca="false">B10</f>
        <v>4</v>
      </c>
      <c r="G10" s="7" t="str">
        <f aca="false">IF(E10&gt;=1.02,"superlinear — cache effect",IF(E10&gt;=0.95,"near-ideal scaling",IF(E10&gt;=0.9,"good scaling","efficiency loss")))</f>
        <v>superlinear — cache effect</v>
      </c>
    </row>
    <row r="11" customFormat="false" ht="15" hidden="false" customHeight="false" outlineLevel="0" collapsed="false">
      <c r="A11" s="7" t="s">
        <v>70</v>
      </c>
      <c r="B11" s="7" t="n">
        <v>1</v>
      </c>
      <c r="C11" s="12" t="n">
        <f aca="false">'Raw Data'!H7*1000</f>
        <v>1.877</v>
      </c>
      <c r="D11" s="15" t="n">
        <f aca="false">'Raw Data'!H5*1000/C11</f>
        <v>1.00213106020245</v>
      </c>
      <c r="E11" s="14" t="n">
        <f aca="false">D11/B11</f>
        <v>1.00213106020245</v>
      </c>
      <c r="F11" s="13" t="n">
        <f aca="false">B11</f>
        <v>1</v>
      </c>
      <c r="G11" s="7" t="str">
        <f aca="false">IF(E11&gt;=1.02,"superlinear — cache effect",IF(E11&gt;=0.95,"near-ideal scaling",IF(E11&gt;=0.9,"good scaling","efficiency loss")))</f>
        <v>near-ideal scaling</v>
      </c>
    </row>
    <row r="12" customFormat="false" ht="15" hidden="false" customHeight="false" outlineLevel="0" collapsed="false">
      <c r="A12" s="7" t="s">
        <v>70</v>
      </c>
      <c r="B12" s="7" t="n">
        <v>2</v>
      </c>
      <c r="C12" s="12" t="n">
        <f aca="false">'Raw Data'!H9*1000</f>
        <v>0.925</v>
      </c>
      <c r="D12" s="15" t="n">
        <f aca="false">'Raw Data'!H5*1000/C12</f>
        <v>2.03351351351351</v>
      </c>
      <c r="E12" s="14" t="n">
        <f aca="false">D12/B12</f>
        <v>1.01675675675676</v>
      </c>
      <c r="F12" s="13" t="n">
        <f aca="false">B12</f>
        <v>2</v>
      </c>
      <c r="G12" s="7" t="str">
        <f aca="false">IF(E12&gt;=1.02,"superlinear — cache effect",IF(E12&gt;=0.95,"near-ideal scaling",IF(E12&gt;=0.9,"good scaling","efficiency loss")))</f>
        <v>near-ideal scaling</v>
      </c>
    </row>
    <row r="13" customFormat="false" ht="15" hidden="false" customHeight="false" outlineLevel="0" collapsed="false">
      <c r="A13" s="7" t="s">
        <v>70</v>
      </c>
      <c r="B13" s="7" t="n">
        <v>3</v>
      </c>
      <c r="C13" s="12" t="n">
        <f aca="false">'Raw Data'!H11*1000</f>
        <v>0.616</v>
      </c>
      <c r="D13" s="15" t="n">
        <f aca="false">'Raw Data'!H5*1000/C13</f>
        <v>3.05357142857143</v>
      </c>
      <c r="E13" s="14" t="n">
        <f aca="false">D13/B13</f>
        <v>1.01785714285714</v>
      </c>
      <c r="F13" s="13" t="n">
        <f aca="false">B13</f>
        <v>3</v>
      </c>
      <c r="G13" s="7" t="str">
        <f aca="false">IF(E13&gt;=1.02,"superlinear — cache effect",IF(E13&gt;=0.95,"near-ideal scaling",IF(E13&gt;=0.9,"good scaling","efficiency loss")))</f>
        <v>near-ideal scaling</v>
      </c>
    </row>
    <row r="14" customFormat="false" ht="15" hidden="false" customHeight="false" outlineLevel="0" collapsed="false">
      <c r="A14" s="7" t="s">
        <v>70</v>
      </c>
      <c r="B14" s="7" t="n">
        <v>4</v>
      </c>
      <c r="C14" s="12" t="n">
        <f aca="false">'Raw Data'!H13*1000</f>
        <v>0.458</v>
      </c>
      <c r="D14" s="15" t="n">
        <f aca="false">'Raw Data'!H5*1000/C14</f>
        <v>4.10698689956332</v>
      </c>
      <c r="E14" s="14" t="n">
        <f aca="false">D14/B14</f>
        <v>1.02674672489083</v>
      </c>
      <c r="F14" s="13" t="n">
        <f aca="false">B14</f>
        <v>4</v>
      </c>
      <c r="G14" s="7" t="str">
        <f aca="false">IF(E14&gt;=1.02,"superlinear — cache effect",IF(E14&gt;=0.95,"near-ideal scaling",IF(E14&gt;=0.9,"good scaling","efficiency loss")))</f>
        <v>superlinear — cache effect</v>
      </c>
    </row>
    <row r="17" customFormat="false" ht="15" hidden="false" customHeight="false" outlineLevel="0" collapsed="false">
      <c r="A17" s="10" t="s">
        <v>71</v>
      </c>
    </row>
    <row r="18" customFormat="false" ht="30" hidden="false" customHeight="true" outlineLevel="0" collapsed="false">
      <c r="A18" s="6" t="s">
        <v>62</v>
      </c>
      <c r="B18" s="6" t="s">
        <v>63</v>
      </c>
      <c r="C18" s="6" t="s">
        <v>64</v>
      </c>
      <c r="D18" s="6" t="s">
        <v>65</v>
      </c>
      <c r="E18" s="6" t="s">
        <v>24</v>
      </c>
      <c r="F18" s="6" t="s">
        <v>66</v>
      </c>
      <c r="G18" s="6" t="s">
        <v>67</v>
      </c>
    </row>
    <row r="19" customFormat="false" ht="15" hidden="false" customHeight="false" outlineLevel="0" collapsed="false">
      <c r="A19" s="11" t="s">
        <v>68</v>
      </c>
      <c r="B19" s="7" t="n">
        <v>1</v>
      </c>
      <c r="C19" s="12" t="n">
        <f aca="false">'Raw Data'!H14*1000</f>
        <v>7.84</v>
      </c>
      <c r="D19" s="13" t="n">
        <v>1</v>
      </c>
      <c r="E19" s="14" t="n">
        <v>1</v>
      </c>
      <c r="F19" s="13" t="n">
        <v>1</v>
      </c>
      <c r="G19" s="7"/>
    </row>
    <row r="20" customFormat="false" ht="15" hidden="false" customHeight="false" outlineLevel="0" collapsed="false">
      <c r="A20" s="7" t="s">
        <v>69</v>
      </c>
      <c r="B20" s="7" t="n">
        <v>1</v>
      </c>
      <c r="C20" s="12" t="n">
        <f aca="false">'Raw Data'!H15*1000</f>
        <v>7.741</v>
      </c>
      <c r="D20" s="15" t="n">
        <f aca="false">'Raw Data'!H14*1000/C20</f>
        <v>1.01278904534298</v>
      </c>
      <c r="E20" s="14" t="n">
        <f aca="false">D20/B20</f>
        <v>1.01278904534298</v>
      </c>
      <c r="F20" s="13" t="n">
        <f aca="false">B20</f>
        <v>1</v>
      </c>
      <c r="G20" s="7" t="str">
        <f aca="false">IF(E20&gt;=1.02,"superlinear — cache effect",IF(E20&gt;=0.95,"near-ideal scaling",IF(E20&gt;=0.9,"good scaling","efficiency loss")))</f>
        <v>near-ideal scaling</v>
      </c>
    </row>
    <row r="21" customFormat="false" ht="15" hidden="false" customHeight="false" outlineLevel="0" collapsed="false">
      <c r="A21" s="7" t="s">
        <v>69</v>
      </c>
      <c r="B21" s="7" t="n">
        <v>2</v>
      </c>
      <c r="C21" s="12" t="n">
        <f aca="false">'Raw Data'!H17*1000</f>
        <v>3.833</v>
      </c>
      <c r="D21" s="15" t="n">
        <f aca="false">'Raw Data'!H14*1000/C21</f>
        <v>2.04539525176102</v>
      </c>
      <c r="E21" s="14" t="n">
        <f aca="false">D21/B21</f>
        <v>1.02269762588051</v>
      </c>
      <c r="F21" s="13" t="n">
        <f aca="false">B21</f>
        <v>2</v>
      </c>
      <c r="G21" s="7" t="str">
        <f aca="false">IF(E21&gt;=1.02,"superlinear — cache effect",IF(E21&gt;=0.95,"near-ideal scaling",IF(E21&gt;=0.9,"good scaling","efficiency loss")))</f>
        <v>superlinear — cache effect</v>
      </c>
    </row>
    <row r="22" customFormat="false" ht="15" hidden="false" customHeight="false" outlineLevel="0" collapsed="false">
      <c r="A22" s="7" t="s">
        <v>69</v>
      </c>
      <c r="B22" s="7" t="n">
        <v>3</v>
      </c>
      <c r="C22" s="12" t="n">
        <f aca="false">'Raw Data'!H19*1000</f>
        <v>2.518</v>
      </c>
      <c r="D22" s="15" t="n">
        <f aca="false">'Raw Data'!H14*1000/C22</f>
        <v>3.11358220810167</v>
      </c>
      <c r="E22" s="14" t="n">
        <f aca="false">D22/B22</f>
        <v>1.03786073603389</v>
      </c>
      <c r="F22" s="13" t="n">
        <f aca="false">B22</f>
        <v>3</v>
      </c>
      <c r="G22" s="7" t="str">
        <f aca="false">IF(E22&gt;=1.02,"superlinear — cache effect",IF(E22&gt;=0.95,"near-ideal scaling",IF(E22&gt;=0.9,"good scaling","efficiency loss")))</f>
        <v>superlinear — cache effect</v>
      </c>
    </row>
    <row r="23" customFormat="false" ht="15" hidden="false" customHeight="false" outlineLevel="0" collapsed="false">
      <c r="A23" s="7" t="s">
        <v>69</v>
      </c>
      <c r="B23" s="7" t="n">
        <v>4</v>
      </c>
      <c r="C23" s="12" t="n">
        <f aca="false">'Raw Data'!H21*1000</f>
        <v>1.883</v>
      </c>
      <c r="D23" s="15" t="n">
        <f aca="false">'Raw Data'!H14*1000/C23</f>
        <v>4.1635687732342</v>
      </c>
      <c r="E23" s="14" t="n">
        <f aca="false">D23/B23</f>
        <v>1.04089219330855</v>
      </c>
      <c r="F23" s="13" t="n">
        <f aca="false">B23</f>
        <v>4</v>
      </c>
      <c r="G23" s="7" t="str">
        <f aca="false">IF(E23&gt;=1.02,"superlinear — cache effect",IF(E23&gt;=0.95,"near-ideal scaling",IF(E23&gt;=0.9,"good scaling","efficiency loss")))</f>
        <v>superlinear — cache effect</v>
      </c>
    </row>
    <row r="24" customFormat="false" ht="15" hidden="false" customHeight="false" outlineLevel="0" collapsed="false">
      <c r="A24" s="7" t="s">
        <v>70</v>
      </c>
      <c r="B24" s="7" t="n">
        <v>1</v>
      </c>
      <c r="C24" s="12" t="n">
        <f aca="false">'Raw Data'!H16*1000</f>
        <v>7.7</v>
      </c>
      <c r="D24" s="15" t="n">
        <f aca="false">'Raw Data'!H14*1000/C24</f>
        <v>1.01818181818182</v>
      </c>
      <c r="E24" s="14" t="n">
        <f aca="false">D24/B24</f>
        <v>1.01818181818182</v>
      </c>
      <c r="F24" s="13" t="n">
        <f aca="false">B24</f>
        <v>1</v>
      </c>
      <c r="G24" s="7" t="str">
        <f aca="false">IF(E24&gt;=1.02,"superlinear — cache effect",IF(E24&gt;=0.95,"near-ideal scaling",IF(E24&gt;=0.9,"good scaling","efficiency loss")))</f>
        <v>near-ideal scaling</v>
      </c>
    </row>
    <row r="25" customFormat="false" ht="15" hidden="false" customHeight="false" outlineLevel="0" collapsed="false">
      <c r="A25" s="7" t="s">
        <v>70</v>
      </c>
      <c r="B25" s="7" t="n">
        <v>2</v>
      </c>
      <c r="C25" s="12" t="n">
        <f aca="false">'Raw Data'!H18*1000</f>
        <v>3.841</v>
      </c>
      <c r="D25" s="15" t="n">
        <f aca="false">'Raw Data'!H14*1000/C25</f>
        <v>2.04113512106222</v>
      </c>
      <c r="E25" s="14" t="n">
        <f aca="false">D25/B25</f>
        <v>1.02056756053111</v>
      </c>
      <c r="F25" s="13" t="n">
        <f aca="false">B25</f>
        <v>2</v>
      </c>
      <c r="G25" s="7" t="str">
        <f aca="false">IF(E25&gt;=1.02,"superlinear — cache effect",IF(E25&gt;=0.95,"near-ideal scaling",IF(E25&gt;=0.9,"good scaling","efficiency loss")))</f>
        <v>superlinear — cache effect</v>
      </c>
    </row>
    <row r="26" customFormat="false" ht="15" hidden="false" customHeight="false" outlineLevel="0" collapsed="false">
      <c r="A26" s="7" t="s">
        <v>70</v>
      </c>
      <c r="B26" s="7" t="n">
        <v>3</v>
      </c>
      <c r="C26" s="12" t="n">
        <f aca="false">'Raw Data'!H20*1000</f>
        <v>2.528</v>
      </c>
      <c r="D26" s="15" t="n">
        <f aca="false">'Raw Data'!H14*1000/C26</f>
        <v>3.10126582278481</v>
      </c>
      <c r="E26" s="14" t="n">
        <f aca="false">D26/B26</f>
        <v>1.0337552742616</v>
      </c>
      <c r="F26" s="13" t="n">
        <f aca="false">B26</f>
        <v>3</v>
      </c>
      <c r="G26" s="7" t="str">
        <f aca="false">IF(E26&gt;=1.02,"superlinear — cache effect",IF(E26&gt;=0.95,"near-ideal scaling",IF(E26&gt;=0.9,"good scaling","efficiency loss")))</f>
        <v>superlinear — cache effect</v>
      </c>
    </row>
    <row r="27" customFormat="false" ht="15" hidden="false" customHeight="false" outlineLevel="0" collapsed="false">
      <c r="A27" s="7" t="s">
        <v>70</v>
      </c>
      <c r="B27" s="7" t="n">
        <v>4</v>
      </c>
      <c r="C27" s="12" t="n">
        <f aca="false">'Raw Data'!H22*1000</f>
        <v>1.885</v>
      </c>
      <c r="D27" s="15" t="n">
        <f aca="false">'Raw Data'!H14*1000/C27</f>
        <v>4.15915119363395</v>
      </c>
      <c r="E27" s="14" t="n">
        <f aca="false">D27/B27</f>
        <v>1.03978779840849</v>
      </c>
      <c r="F27" s="13" t="n">
        <f aca="false">B27</f>
        <v>4</v>
      </c>
      <c r="G27" s="7" t="str">
        <f aca="false">IF(E27&gt;=1.02,"superlinear — cache effect",IF(E27&gt;=0.95,"near-ideal scaling",IF(E27&gt;=0.9,"good scaling","efficiency loss")))</f>
        <v>superlinear — cache effect</v>
      </c>
    </row>
    <row r="30" customFormat="false" ht="15" hidden="false" customHeight="false" outlineLevel="0" collapsed="false">
      <c r="A30" s="10" t="s">
        <v>72</v>
      </c>
    </row>
    <row r="31" customFormat="false" ht="30" hidden="false" customHeight="true" outlineLevel="0" collapsed="false">
      <c r="A31" s="6" t="s">
        <v>62</v>
      </c>
      <c r="B31" s="6" t="s">
        <v>63</v>
      </c>
      <c r="C31" s="6" t="s">
        <v>64</v>
      </c>
      <c r="D31" s="6" t="s">
        <v>65</v>
      </c>
      <c r="E31" s="6" t="s">
        <v>24</v>
      </c>
      <c r="F31" s="6" t="s">
        <v>66</v>
      </c>
      <c r="G31" s="6" t="s">
        <v>67</v>
      </c>
    </row>
    <row r="32" customFormat="false" ht="15" hidden="false" customHeight="false" outlineLevel="0" collapsed="false">
      <c r="A32" s="11" t="s">
        <v>68</v>
      </c>
      <c r="B32" s="7" t="n">
        <v>1</v>
      </c>
      <c r="C32" s="12" t="n">
        <f aca="false">'Raw Data'!H23*1000</f>
        <v>32.642</v>
      </c>
      <c r="D32" s="13" t="n">
        <v>1</v>
      </c>
      <c r="E32" s="14" t="n">
        <v>1</v>
      </c>
      <c r="F32" s="13" t="n">
        <v>1</v>
      </c>
      <c r="G32" s="7"/>
    </row>
    <row r="33" customFormat="false" ht="15" hidden="false" customHeight="false" outlineLevel="0" collapsed="false">
      <c r="A33" s="7" t="s">
        <v>69</v>
      </c>
      <c r="B33" s="7" t="n">
        <v>1</v>
      </c>
      <c r="C33" s="12" t="n">
        <f aca="false">'Raw Data'!H24*1000</f>
        <v>32.741</v>
      </c>
      <c r="D33" s="15" t="n">
        <f aca="false">'Raw Data'!H23*1000/C33</f>
        <v>0.996976268287468</v>
      </c>
      <c r="E33" s="14" t="n">
        <f aca="false">D33/B33</f>
        <v>0.996976268287468</v>
      </c>
      <c r="F33" s="13" t="n">
        <f aca="false">B33</f>
        <v>1</v>
      </c>
      <c r="G33" s="7" t="str">
        <f aca="false">IF(E33&gt;=1.02,"superlinear — cache effect",IF(E33&gt;=0.95,"near-ideal scaling",IF(E33&gt;=0.9,"good scaling","efficiency loss")))</f>
        <v>near-ideal scaling</v>
      </c>
    </row>
    <row r="34" customFormat="false" ht="15" hidden="false" customHeight="false" outlineLevel="0" collapsed="false">
      <c r="A34" s="7" t="s">
        <v>69</v>
      </c>
      <c r="B34" s="7" t="n">
        <v>2</v>
      </c>
      <c r="C34" s="12" t="n">
        <f aca="false">'Raw Data'!H26*1000</f>
        <v>16.358</v>
      </c>
      <c r="D34" s="15" t="n">
        <f aca="false">'Raw Data'!H23*1000/C34</f>
        <v>1.99547621958675</v>
      </c>
      <c r="E34" s="14" t="n">
        <f aca="false">D34/B34</f>
        <v>0.997738109793373</v>
      </c>
      <c r="F34" s="13" t="n">
        <f aca="false">B34</f>
        <v>2</v>
      </c>
      <c r="G34" s="7" t="str">
        <f aca="false">IF(E34&gt;=1.02,"superlinear — cache effect",IF(E34&gt;=0.95,"near-ideal scaling",IF(E34&gt;=0.9,"good scaling","efficiency loss")))</f>
        <v>near-ideal scaling</v>
      </c>
    </row>
    <row r="35" customFormat="false" ht="15" hidden="false" customHeight="false" outlineLevel="0" collapsed="false">
      <c r="A35" s="7" t="s">
        <v>69</v>
      </c>
      <c r="B35" s="7" t="n">
        <v>3</v>
      </c>
      <c r="C35" s="12" t="n">
        <f aca="false">'Raw Data'!H28*1000</f>
        <v>10.851</v>
      </c>
      <c r="D35" s="15" t="n">
        <f aca="false">'Raw Data'!H23*1000/C35</f>
        <v>3.00820200903143</v>
      </c>
      <c r="E35" s="14" t="n">
        <f aca="false">D35/B35</f>
        <v>1.00273400301048</v>
      </c>
      <c r="F35" s="13" t="n">
        <f aca="false">B35</f>
        <v>3</v>
      </c>
      <c r="G35" s="7" t="str">
        <f aca="false">IF(E35&gt;=1.02,"superlinear — cache effect",IF(E35&gt;=0.95,"near-ideal scaling",IF(E35&gt;=0.9,"good scaling","efficiency loss")))</f>
        <v>near-ideal scaling</v>
      </c>
    </row>
    <row r="36" customFormat="false" ht="15" hidden="false" customHeight="false" outlineLevel="0" collapsed="false">
      <c r="A36" s="7" t="s">
        <v>69</v>
      </c>
      <c r="B36" s="7" t="n">
        <v>4</v>
      </c>
      <c r="C36" s="12" t="n">
        <f aca="false">'Raw Data'!H30*1000</f>
        <v>8.226</v>
      </c>
      <c r="D36" s="15" t="n">
        <f aca="false">'Raw Data'!H23*1000/C36</f>
        <v>3.96814976902504</v>
      </c>
      <c r="E36" s="14" t="n">
        <f aca="false">D36/B36</f>
        <v>0.99203744225626</v>
      </c>
      <c r="F36" s="13" t="n">
        <f aca="false">B36</f>
        <v>4</v>
      </c>
      <c r="G36" s="7" t="str">
        <f aca="false">IF(E36&gt;=1.02,"superlinear — cache effect",IF(E36&gt;=0.95,"near-ideal scaling",IF(E36&gt;=0.9,"good scaling","efficiency loss")))</f>
        <v>near-ideal scaling</v>
      </c>
    </row>
    <row r="37" customFormat="false" ht="15" hidden="false" customHeight="false" outlineLevel="0" collapsed="false">
      <c r="A37" s="7" t="s">
        <v>70</v>
      </c>
      <c r="B37" s="7" t="n">
        <v>1</v>
      </c>
      <c r="C37" s="12" t="n">
        <f aca="false">'Raw Data'!H25*1000</f>
        <v>32.118</v>
      </c>
      <c r="D37" s="15" t="n">
        <f aca="false">'Raw Data'!H23*1000/C37</f>
        <v>1.01631483903107</v>
      </c>
      <c r="E37" s="14" t="n">
        <f aca="false">D37/B37</f>
        <v>1.01631483903107</v>
      </c>
      <c r="F37" s="13" t="n">
        <f aca="false">B37</f>
        <v>1</v>
      </c>
      <c r="G37" s="7" t="str">
        <f aca="false">IF(E37&gt;=1.02,"superlinear — cache effect",IF(E37&gt;=0.95,"near-ideal scaling",IF(E37&gt;=0.9,"good scaling","efficiency loss")))</f>
        <v>near-ideal scaling</v>
      </c>
    </row>
    <row r="38" customFormat="false" ht="15" hidden="false" customHeight="false" outlineLevel="0" collapsed="false">
      <c r="A38" s="7" t="s">
        <v>70</v>
      </c>
      <c r="B38" s="7" t="n">
        <v>2</v>
      </c>
      <c r="C38" s="12" t="n">
        <f aca="false">'Raw Data'!H27*1000</f>
        <v>16.256</v>
      </c>
      <c r="D38" s="15" t="n">
        <f aca="false">'Raw Data'!H23*1000/C38</f>
        <v>2.00799704724409</v>
      </c>
      <c r="E38" s="14" t="n">
        <f aca="false">D38/B38</f>
        <v>1.00399852362205</v>
      </c>
      <c r="F38" s="13" t="n">
        <f aca="false">B38</f>
        <v>2</v>
      </c>
      <c r="G38" s="7" t="str">
        <f aca="false">IF(E38&gt;=1.02,"superlinear — cache effect",IF(E38&gt;=0.95,"near-ideal scaling",IF(E38&gt;=0.9,"good scaling","efficiency loss")))</f>
        <v>near-ideal scaling</v>
      </c>
    </row>
    <row r="39" customFormat="false" ht="15" hidden="false" customHeight="false" outlineLevel="0" collapsed="false">
      <c r="A39" s="7" t="s">
        <v>70</v>
      </c>
      <c r="B39" s="7" t="n">
        <v>3</v>
      </c>
      <c r="C39" s="12" t="n">
        <f aca="false">'Raw Data'!H29*1000</f>
        <v>10.876</v>
      </c>
      <c r="D39" s="15" t="n">
        <f aca="false">'Raw Data'!H23*1000/C39</f>
        <v>3.00128723795513</v>
      </c>
      <c r="E39" s="14" t="n">
        <f aca="false">D39/B39</f>
        <v>1.00042907931838</v>
      </c>
      <c r="F39" s="13" t="n">
        <f aca="false">B39</f>
        <v>3</v>
      </c>
      <c r="G39" s="7" t="str">
        <f aca="false">IF(E39&gt;=1.02,"superlinear — cache effect",IF(E39&gt;=0.95,"near-ideal scaling",IF(E39&gt;=0.9,"good scaling","efficiency loss")))</f>
        <v>near-ideal scaling</v>
      </c>
    </row>
    <row r="40" customFormat="false" ht="15" hidden="false" customHeight="false" outlineLevel="0" collapsed="false">
      <c r="A40" s="7" t="s">
        <v>70</v>
      </c>
      <c r="B40" s="7" t="n">
        <v>4</v>
      </c>
      <c r="C40" s="12" t="n">
        <f aca="false">'Raw Data'!H31*1000</f>
        <v>8.091</v>
      </c>
      <c r="D40" s="15" t="n">
        <f aca="false">'Raw Data'!H23*1000/C40</f>
        <v>4.03435916450377</v>
      </c>
      <c r="E40" s="14" t="n">
        <f aca="false">D40/B40</f>
        <v>1.00858979112594</v>
      </c>
      <c r="F40" s="13" t="n">
        <f aca="false">B40</f>
        <v>4</v>
      </c>
      <c r="G40" s="7" t="str">
        <f aca="false">IF(E40&gt;=1.02,"superlinear — cache effect",IF(E40&gt;=0.95,"near-ideal scaling",IF(E40&gt;=0.9,"good scaling","efficiency loss")))</f>
        <v>near-ideal scaling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10" t="s">
        <v>75</v>
      </c>
    </row>
    <row r="5" customFormat="false" ht="30" hidden="false" customHeight="true" outlineLevel="0" collapsed="false">
      <c r="A5" s="6" t="s">
        <v>62</v>
      </c>
      <c r="B5" s="6" t="s">
        <v>63</v>
      </c>
      <c r="C5" s="6" t="s">
        <v>76</v>
      </c>
      <c r="D5" s="6" t="s">
        <v>77</v>
      </c>
      <c r="E5" s="6" t="s">
        <v>64</v>
      </c>
      <c r="F5" s="6" t="s">
        <v>78</v>
      </c>
      <c r="G5" s="6" t="s">
        <v>65</v>
      </c>
      <c r="H5" s="6" t="s">
        <v>79</v>
      </c>
    </row>
    <row r="6" customFormat="false" ht="15" hidden="false" customHeight="false" outlineLevel="0" collapsed="false">
      <c r="A6" s="11" t="s">
        <v>68</v>
      </c>
      <c r="B6" s="7" t="n">
        <v>1</v>
      </c>
      <c r="C6" s="12" t="n">
        <f aca="false">('Raw Data'!F5+'Raw Data'!J5)*1000</f>
        <v>3.137</v>
      </c>
      <c r="D6" s="12" t="n">
        <v>0</v>
      </c>
      <c r="E6" s="12" t="n">
        <f aca="false">'Raw Data'!H5*1000</f>
        <v>1.881</v>
      </c>
      <c r="F6" s="12" t="n">
        <f aca="false">'Raw Data'!K5*1000</f>
        <v>5.018</v>
      </c>
      <c r="G6" s="13" t="n">
        <v>1</v>
      </c>
      <c r="H6" s="7" t="s">
        <v>80</v>
      </c>
    </row>
    <row r="7" customFormat="false" ht="15" hidden="false" customHeight="false" outlineLevel="0" collapsed="false">
      <c r="A7" s="7" t="s">
        <v>69</v>
      </c>
      <c r="B7" s="7" t="n">
        <v>1</v>
      </c>
      <c r="C7" s="12" t="n">
        <f aca="false">('Raw Data'!F6+'Raw Data'!J6)*1000</f>
        <v>3.754</v>
      </c>
      <c r="D7" s="12" t="n">
        <f aca="false">(N('Raw Data'!G6)+N('Raw Data'!I6))*1000</f>
        <v>4.237</v>
      </c>
      <c r="E7" s="12" t="n">
        <f aca="false">'Raw Data'!H6*1000</f>
        <v>1.868</v>
      </c>
      <c r="F7" s="12" t="n">
        <f aca="false">'Raw Data'!K6*1000</f>
        <v>9.88</v>
      </c>
      <c r="G7" s="13" t="n">
        <f aca="false">'Raw Data'!K5*1000/F7</f>
        <v>0.507894736842105</v>
      </c>
      <c r="H7" s="7" t="str">
        <f aca="false">IF(G7&gt;=1,"faster than sequential","SLOWER than sequential")</f>
        <v>SLOWER than sequential</v>
      </c>
    </row>
    <row r="8" customFormat="false" ht="15" hidden="false" customHeight="false" outlineLevel="0" collapsed="false">
      <c r="A8" s="7" t="s">
        <v>69</v>
      </c>
      <c r="B8" s="7" t="n">
        <v>2</v>
      </c>
      <c r="C8" s="12" t="n">
        <f aca="false">('Raw Data'!F8+'Raw Data'!J8)*1000</f>
        <v>3.784</v>
      </c>
      <c r="D8" s="12" t="n">
        <f aca="false">(N('Raw Data'!G8)+N('Raw Data'!I8))*1000</f>
        <v>4.694</v>
      </c>
      <c r="E8" s="12" t="n">
        <f aca="false">'Raw Data'!H8*1000</f>
        <v>0.949</v>
      </c>
      <c r="F8" s="12" t="n">
        <f aca="false">'Raw Data'!K8*1000</f>
        <v>9.321</v>
      </c>
      <c r="G8" s="13" t="n">
        <f aca="false">'Raw Data'!K5*1000/F8</f>
        <v>0.538354253835425</v>
      </c>
      <c r="H8" s="7" t="str">
        <f aca="false">IF(G8&gt;=1,"faster than sequential","SLOWER than sequential")</f>
        <v>SLOWER than sequential</v>
      </c>
    </row>
    <row r="9" customFormat="false" ht="15" hidden="false" customHeight="false" outlineLevel="0" collapsed="false">
      <c r="A9" s="7" t="s">
        <v>69</v>
      </c>
      <c r="B9" s="7" t="n">
        <v>3</v>
      </c>
      <c r="C9" s="12" t="n">
        <f aca="false">('Raw Data'!F10+'Raw Data'!J10)*1000</f>
        <v>3.801</v>
      </c>
      <c r="D9" s="12" t="n">
        <f aca="false">(N('Raw Data'!G10)+N('Raw Data'!I10))*1000</f>
        <v>5.191</v>
      </c>
      <c r="E9" s="12" t="n">
        <f aca="false">'Raw Data'!H10*1000</f>
        <v>0.61</v>
      </c>
      <c r="F9" s="12" t="n">
        <f aca="false">'Raw Data'!K10*1000</f>
        <v>9.108</v>
      </c>
      <c r="G9" s="13" t="n">
        <f aca="false">'Raw Data'!K5*1000/F9</f>
        <v>0.550944224857268</v>
      </c>
      <c r="H9" s="7" t="str">
        <f aca="false">IF(G9&gt;=1,"faster than sequential","SLOWER than sequential")</f>
        <v>SLOWER than sequential</v>
      </c>
    </row>
    <row r="10" customFormat="false" ht="15" hidden="false" customHeight="false" outlineLevel="0" collapsed="false">
      <c r="A10" s="7" t="s">
        <v>69</v>
      </c>
      <c r="B10" s="7" t="n">
        <v>4</v>
      </c>
      <c r="C10" s="12" t="n">
        <f aca="false">('Raw Data'!F12+'Raw Data'!J12)*1000</f>
        <v>3.904</v>
      </c>
      <c r="D10" s="12" t="n">
        <f aca="false">(N('Raw Data'!G12)+N('Raw Data'!I12))*1000</f>
        <v>5.928</v>
      </c>
      <c r="E10" s="12" t="n">
        <f aca="false">'Raw Data'!H12*1000</f>
        <v>0.458</v>
      </c>
      <c r="F10" s="12" t="n">
        <f aca="false">'Raw Data'!K12*1000</f>
        <v>9.296</v>
      </c>
      <c r="G10" s="13" t="n">
        <f aca="false">'Raw Data'!K5*1000/F10</f>
        <v>0.539802065404475</v>
      </c>
      <c r="H10" s="7" t="str">
        <f aca="false">IF(G10&gt;=1,"faster than sequential","SLOWER than sequential")</f>
        <v>SLOWER than sequential</v>
      </c>
    </row>
    <row r="11" customFormat="false" ht="15" hidden="false" customHeight="false" outlineLevel="0" collapsed="false">
      <c r="A11" s="7" t="s">
        <v>70</v>
      </c>
      <c r="B11" s="7" t="n">
        <v>1</v>
      </c>
      <c r="C11" s="12" t="n">
        <f aca="false">('Raw Data'!F7+'Raw Data'!J7)*1000</f>
        <v>5.589</v>
      </c>
      <c r="D11" s="12" t="n">
        <f aca="false">(N('Raw Data'!G7)+N('Raw Data'!I7))*1000</f>
        <v>0</v>
      </c>
      <c r="E11" s="12" t="n">
        <f aca="false">'Raw Data'!H7*1000</f>
        <v>1.877</v>
      </c>
      <c r="F11" s="12" t="n">
        <f aca="false">'Raw Data'!K7*1000</f>
        <v>7.475</v>
      </c>
      <c r="G11" s="13" t="n">
        <f aca="false">'Raw Data'!K5*1000/F11</f>
        <v>0.671304347826087</v>
      </c>
      <c r="H11" s="7" t="str">
        <f aca="false">IF(G11&gt;=1,"faster than sequential","SLOWER than sequential")</f>
        <v>SLOWER than sequential</v>
      </c>
    </row>
    <row r="12" customFormat="false" ht="15" hidden="false" customHeight="false" outlineLevel="0" collapsed="false">
      <c r="A12" s="7" t="s">
        <v>70</v>
      </c>
      <c r="B12" s="7" t="n">
        <v>2</v>
      </c>
      <c r="C12" s="12" t="n">
        <f aca="false">('Raw Data'!F9+'Raw Data'!J9)*1000</f>
        <v>4.76</v>
      </c>
      <c r="D12" s="12" t="n">
        <f aca="false">(N('Raw Data'!G9)+N('Raw Data'!I9))*1000</f>
        <v>0</v>
      </c>
      <c r="E12" s="12" t="n">
        <f aca="false">'Raw Data'!H9*1000</f>
        <v>0.925</v>
      </c>
      <c r="F12" s="12" t="n">
        <f aca="false">'Raw Data'!K9*1000</f>
        <v>5.696</v>
      </c>
      <c r="G12" s="13" t="n">
        <f aca="false">'Raw Data'!K5*1000/F12</f>
        <v>0.880969101123596</v>
      </c>
      <c r="H12" s="7" t="str">
        <f aca="false">IF(G12&gt;=1,"faster than sequential","SLOWER than sequential")</f>
        <v>SLOWER than sequential</v>
      </c>
    </row>
    <row r="13" customFormat="false" ht="15" hidden="false" customHeight="false" outlineLevel="0" collapsed="false">
      <c r="A13" s="7" t="s">
        <v>70</v>
      </c>
      <c r="B13" s="7" t="n">
        <v>3</v>
      </c>
      <c r="C13" s="12" t="n">
        <f aca="false">('Raw Data'!F11+'Raw Data'!J11)*1000</f>
        <v>8.984</v>
      </c>
      <c r="D13" s="12" t="n">
        <f aca="false">(N('Raw Data'!G11)+N('Raw Data'!I11))*1000</f>
        <v>0</v>
      </c>
      <c r="E13" s="12" t="n">
        <f aca="false">'Raw Data'!H11*1000</f>
        <v>0.616</v>
      </c>
      <c r="F13" s="12" t="n">
        <f aca="false">'Raw Data'!K11*1000</f>
        <v>9.606</v>
      </c>
      <c r="G13" s="13" t="n">
        <f aca="false">'Raw Data'!K5*1000/F13</f>
        <v>0.522381844680408</v>
      </c>
      <c r="H13" s="7" t="str">
        <f aca="false">IF(G13&gt;=1,"faster than sequential","SLOWER than sequential")</f>
        <v>SLOWER than sequential</v>
      </c>
    </row>
    <row r="14" customFormat="false" ht="15" hidden="false" customHeight="false" outlineLevel="0" collapsed="false">
      <c r="A14" s="7" t="s">
        <v>70</v>
      </c>
      <c r="B14" s="7" t="n">
        <v>4</v>
      </c>
      <c r="C14" s="12" t="n">
        <f aca="false">('Raw Data'!F13+'Raw Data'!J13)*1000</f>
        <v>10.036</v>
      </c>
      <c r="D14" s="12" t="n">
        <f aca="false">(N('Raw Data'!G13)+N('Raw Data'!I13))*1000</f>
        <v>0</v>
      </c>
      <c r="E14" s="12" t="n">
        <f aca="false">'Raw Data'!H13*1000</f>
        <v>0.458</v>
      </c>
      <c r="F14" s="12" t="n">
        <f aca="false">'Raw Data'!K13*1000</f>
        <v>10.492</v>
      </c>
      <c r="G14" s="13" t="n">
        <f aca="false">'Raw Data'!K5*1000/F14</f>
        <v>0.478269157453298</v>
      </c>
      <c r="H14" s="7" t="str">
        <f aca="false">IF(G14&gt;=1,"faster than sequential","SLOWER than sequential")</f>
        <v>SLOWER than sequential</v>
      </c>
    </row>
    <row r="17" customFormat="false" ht="15" hidden="false" customHeight="false" outlineLevel="0" collapsed="false">
      <c r="A17" s="10" t="s">
        <v>81</v>
      </c>
    </row>
    <row r="18" customFormat="false" ht="30" hidden="false" customHeight="true" outlineLevel="0" collapsed="false">
      <c r="A18" s="6" t="s">
        <v>62</v>
      </c>
      <c r="B18" s="6" t="s">
        <v>63</v>
      </c>
      <c r="C18" s="6" t="s">
        <v>76</v>
      </c>
      <c r="D18" s="6" t="s">
        <v>77</v>
      </c>
      <c r="E18" s="6" t="s">
        <v>64</v>
      </c>
      <c r="F18" s="6" t="s">
        <v>78</v>
      </c>
      <c r="G18" s="6" t="s">
        <v>65</v>
      </c>
      <c r="H18" s="6" t="s">
        <v>79</v>
      </c>
    </row>
    <row r="19" customFormat="false" ht="15" hidden="false" customHeight="false" outlineLevel="0" collapsed="false">
      <c r="A19" s="11" t="s">
        <v>68</v>
      </c>
      <c r="B19" s="7" t="n">
        <v>1</v>
      </c>
      <c r="C19" s="12" t="n">
        <f aca="false">('Raw Data'!F14+'Raw Data'!J14)*1000</f>
        <v>13.278</v>
      </c>
      <c r="D19" s="12" t="n">
        <v>0</v>
      </c>
      <c r="E19" s="12" t="n">
        <f aca="false">'Raw Data'!H14*1000</f>
        <v>7.84</v>
      </c>
      <c r="F19" s="12" t="n">
        <f aca="false">'Raw Data'!K14*1000</f>
        <v>21.118</v>
      </c>
      <c r="G19" s="13" t="n">
        <v>1</v>
      </c>
      <c r="H19" s="7" t="s">
        <v>80</v>
      </c>
    </row>
    <row r="20" customFormat="false" ht="15" hidden="false" customHeight="false" outlineLevel="0" collapsed="false">
      <c r="A20" s="7" t="s">
        <v>69</v>
      </c>
      <c r="B20" s="7" t="n">
        <v>1</v>
      </c>
      <c r="C20" s="12" t="n">
        <f aca="false">('Raw Data'!F15+'Raw Data'!J15)*1000</f>
        <v>13.591</v>
      </c>
      <c r="D20" s="12" t="n">
        <f aca="false">(N('Raw Data'!G15)+N('Raw Data'!I15))*1000</f>
        <v>17.056</v>
      </c>
      <c r="E20" s="12" t="n">
        <f aca="false">'Raw Data'!H15*1000</f>
        <v>7.741</v>
      </c>
      <c r="F20" s="12" t="n">
        <f aca="false">'Raw Data'!K15*1000</f>
        <v>38.425</v>
      </c>
      <c r="G20" s="13" t="n">
        <f aca="false">'Raw Data'!K14*1000/F20</f>
        <v>0.549590110605075</v>
      </c>
      <c r="H20" s="7" t="str">
        <f aca="false">IF(G20&gt;=1,"faster than sequential","SLOWER than sequential")</f>
        <v>SLOWER than sequential</v>
      </c>
    </row>
    <row r="21" customFormat="false" ht="15" hidden="false" customHeight="false" outlineLevel="0" collapsed="false">
      <c r="A21" s="7" t="s">
        <v>69</v>
      </c>
      <c r="B21" s="7" t="n">
        <v>2</v>
      </c>
      <c r="C21" s="12" t="n">
        <f aca="false">('Raw Data'!F17+'Raw Data'!J17)*1000</f>
        <v>13.722</v>
      </c>
      <c r="D21" s="12" t="n">
        <f aca="false">(N('Raw Data'!G17)+N('Raw Data'!I17))*1000</f>
        <v>18.26</v>
      </c>
      <c r="E21" s="12" t="n">
        <f aca="false">'Raw Data'!H17*1000</f>
        <v>3.833</v>
      </c>
      <c r="F21" s="12" t="n">
        <f aca="false">'Raw Data'!K17*1000</f>
        <v>35.835</v>
      </c>
      <c r="G21" s="13" t="n">
        <f aca="false">'Raw Data'!K14*1000/F21</f>
        <v>0.589312125017441</v>
      </c>
      <c r="H21" s="7" t="str">
        <f aca="false">IF(G21&gt;=1,"faster than sequential","SLOWER than sequential")</f>
        <v>SLOWER than sequential</v>
      </c>
    </row>
    <row r="22" customFormat="false" ht="15" hidden="false" customHeight="false" outlineLevel="0" collapsed="false">
      <c r="A22" s="7" t="s">
        <v>69</v>
      </c>
      <c r="B22" s="7" t="n">
        <v>3</v>
      </c>
      <c r="C22" s="12" t="n">
        <f aca="false">('Raw Data'!F19+'Raw Data'!J19)*1000</f>
        <v>13.672</v>
      </c>
      <c r="D22" s="12" t="n">
        <f aca="false">(N('Raw Data'!G19)+N('Raw Data'!I19))*1000</f>
        <v>19.156</v>
      </c>
      <c r="E22" s="12" t="n">
        <f aca="false">'Raw Data'!H19*1000</f>
        <v>2.518</v>
      </c>
      <c r="F22" s="12" t="n">
        <f aca="false">'Raw Data'!K19*1000</f>
        <v>33.479</v>
      </c>
      <c r="G22" s="13" t="n">
        <f aca="false">'Raw Data'!K14*1000/F22</f>
        <v>0.630783476208967</v>
      </c>
      <c r="H22" s="7" t="str">
        <f aca="false">IF(G22&gt;=1,"faster than sequential","SLOWER than sequential")</f>
        <v>SLOWER than sequential</v>
      </c>
    </row>
    <row r="23" customFormat="false" ht="15" hidden="false" customHeight="false" outlineLevel="0" collapsed="false">
      <c r="A23" s="7" t="s">
        <v>69</v>
      </c>
      <c r="B23" s="7" t="n">
        <v>4</v>
      </c>
      <c r="C23" s="12" t="n">
        <f aca="false">('Raw Data'!F21+'Raw Data'!J21)*1000</f>
        <v>13.78</v>
      </c>
      <c r="D23" s="12" t="n">
        <f aca="false">(N('Raw Data'!G21)+N('Raw Data'!I21))*1000</f>
        <v>23.145</v>
      </c>
      <c r="E23" s="12" t="n">
        <f aca="false">'Raw Data'!H21*1000</f>
        <v>1.883</v>
      </c>
      <c r="F23" s="12" t="n">
        <f aca="false">'Raw Data'!K21*1000</f>
        <v>34.734</v>
      </c>
      <c r="G23" s="13" t="n">
        <f aca="false">'Raw Data'!K14*1000/F23</f>
        <v>0.607992169056256</v>
      </c>
      <c r="H23" s="7" t="str">
        <f aca="false">IF(G23&gt;=1,"faster than sequential","SLOWER than sequential")</f>
        <v>SLOWER than sequential</v>
      </c>
    </row>
    <row r="24" customFormat="false" ht="15" hidden="false" customHeight="false" outlineLevel="0" collapsed="false">
      <c r="A24" s="7" t="s">
        <v>70</v>
      </c>
      <c r="B24" s="7" t="n">
        <v>1</v>
      </c>
      <c r="C24" s="12" t="n">
        <f aca="false">('Raw Data'!F16+'Raw Data'!J16)*1000</f>
        <v>15.218</v>
      </c>
      <c r="D24" s="12" t="n">
        <f aca="false">(N('Raw Data'!G16)+N('Raw Data'!I16))*1000</f>
        <v>0</v>
      </c>
      <c r="E24" s="12" t="n">
        <f aca="false">'Raw Data'!H16*1000</f>
        <v>7.7</v>
      </c>
      <c r="F24" s="12" t="n">
        <f aca="false">'Raw Data'!K16*1000</f>
        <v>22.93</v>
      </c>
      <c r="G24" s="13" t="n">
        <f aca="false">'Raw Data'!K14*1000/F24</f>
        <v>0.920976886175316</v>
      </c>
      <c r="H24" s="7" t="str">
        <f aca="false">IF(G24&gt;=1,"faster than sequential","SLOWER than sequential")</f>
        <v>SLOWER than sequential</v>
      </c>
    </row>
    <row r="25" customFormat="false" ht="15" hidden="false" customHeight="false" outlineLevel="0" collapsed="false">
      <c r="A25" s="7" t="s">
        <v>70</v>
      </c>
      <c r="B25" s="7" t="n">
        <v>2</v>
      </c>
      <c r="C25" s="12" t="n">
        <f aca="false">('Raw Data'!F18+'Raw Data'!J18)*1000</f>
        <v>15.37</v>
      </c>
      <c r="D25" s="12" t="n">
        <f aca="false">(N('Raw Data'!G18)+N('Raw Data'!I18))*1000</f>
        <v>0</v>
      </c>
      <c r="E25" s="12" t="n">
        <f aca="false">'Raw Data'!H18*1000</f>
        <v>3.841</v>
      </c>
      <c r="F25" s="12" t="n">
        <f aca="false">'Raw Data'!K18*1000</f>
        <v>19.207</v>
      </c>
      <c r="G25" s="13" t="n">
        <f aca="false">'Raw Data'!K14*1000/F25</f>
        <v>1.09949497579008</v>
      </c>
      <c r="H25" s="7" t="str">
        <f aca="false">IF(G25&gt;=1,"faster than sequential","SLOWER than sequential")</f>
        <v>faster than sequential</v>
      </c>
    </row>
    <row r="26" customFormat="false" ht="15" hidden="false" customHeight="false" outlineLevel="0" collapsed="false">
      <c r="A26" s="7" t="s">
        <v>70</v>
      </c>
      <c r="B26" s="7" t="n">
        <v>3</v>
      </c>
      <c r="C26" s="12" t="n">
        <f aca="false">('Raw Data'!F20+'Raw Data'!J20)*1000</f>
        <v>27.732</v>
      </c>
      <c r="D26" s="12" t="n">
        <f aca="false">(N('Raw Data'!G20)+N('Raw Data'!I20))*1000</f>
        <v>0</v>
      </c>
      <c r="E26" s="12" t="n">
        <f aca="false">'Raw Data'!H20*1000</f>
        <v>2.528</v>
      </c>
      <c r="F26" s="12" t="n">
        <f aca="false">'Raw Data'!K20*1000</f>
        <v>30.249</v>
      </c>
      <c r="G26" s="13" t="n">
        <f aca="false">'Raw Data'!K14*1000/F26</f>
        <v>0.698138781447321</v>
      </c>
      <c r="H26" s="7" t="str">
        <f aca="false">IF(G26&gt;=1,"faster than sequential","SLOWER than sequential")</f>
        <v>SLOWER than sequential</v>
      </c>
    </row>
    <row r="27" customFormat="false" ht="15" hidden="false" customHeight="false" outlineLevel="0" collapsed="false">
      <c r="A27" s="7" t="s">
        <v>70</v>
      </c>
      <c r="B27" s="7" t="n">
        <v>4</v>
      </c>
      <c r="C27" s="12" t="n">
        <f aca="false">('Raw Data'!F22+'Raw Data'!J22)*1000</f>
        <v>28.117</v>
      </c>
      <c r="D27" s="12" t="n">
        <f aca="false">(N('Raw Data'!G22)+N('Raw Data'!I22))*1000</f>
        <v>0</v>
      </c>
      <c r="E27" s="12" t="n">
        <f aca="false">'Raw Data'!H22*1000</f>
        <v>1.885</v>
      </c>
      <c r="F27" s="12" t="n">
        <f aca="false">'Raw Data'!K22*1000</f>
        <v>30.012</v>
      </c>
      <c r="G27" s="13" t="n">
        <f aca="false">'Raw Data'!K14*1000/F27</f>
        <v>0.7036518725843</v>
      </c>
      <c r="H27" s="7" t="str">
        <f aca="false">IF(G27&gt;=1,"faster than sequential","SLOWER than sequential")</f>
        <v>SLOWER than sequential</v>
      </c>
    </row>
    <row r="30" customFormat="false" ht="15" hidden="false" customHeight="false" outlineLevel="0" collapsed="false">
      <c r="A30" s="10" t="s">
        <v>82</v>
      </c>
    </row>
    <row r="31" customFormat="false" ht="30" hidden="false" customHeight="true" outlineLevel="0" collapsed="false">
      <c r="A31" s="6" t="s">
        <v>62</v>
      </c>
      <c r="B31" s="6" t="s">
        <v>63</v>
      </c>
      <c r="C31" s="6" t="s">
        <v>76</v>
      </c>
      <c r="D31" s="6" t="s">
        <v>77</v>
      </c>
      <c r="E31" s="6" t="s">
        <v>64</v>
      </c>
      <c r="F31" s="6" t="s">
        <v>78</v>
      </c>
      <c r="G31" s="6" t="s">
        <v>65</v>
      </c>
      <c r="H31" s="6" t="s">
        <v>79</v>
      </c>
    </row>
    <row r="32" customFormat="false" ht="15" hidden="false" customHeight="false" outlineLevel="0" collapsed="false">
      <c r="A32" s="11" t="s">
        <v>68</v>
      </c>
      <c r="B32" s="7" t="n">
        <v>1</v>
      </c>
      <c r="C32" s="12" t="n">
        <f aca="false">('Raw Data'!F23+'Raw Data'!J23)*1000</f>
        <v>55.541</v>
      </c>
      <c r="D32" s="12" t="n">
        <v>0</v>
      </c>
      <c r="E32" s="12" t="n">
        <f aca="false">'Raw Data'!H23*1000</f>
        <v>32.642</v>
      </c>
      <c r="F32" s="12" t="n">
        <f aca="false">'Raw Data'!K23*1000</f>
        <v>88.183</v>
      </c>
      <c r="G32" s="13" t="n">
        <v>1</v>
      </c>
      <c r="H32" s="7" t="s">
        <v>80</v>
      </c>
    </row>
    <row r="33" customFormat="false" ht="15" hidden="false" customHeight="false" outlineLevel="0" collapsed="false">
      <c r="A33" s="7" t="s">
        <v>69</v>
      </c>
      <c r="B33" s="7" t="n">
        <v>1</v>
      </c>
      <c r="C33" s="12" t="n">
        <f aca="false">('Raw Data'!F24+'Raw Data'!J24)*1000</f>
        <v>53.792</v>
      </c>
      <c r="D33" s="12" t="n">
        <f aca="false">(N('Raw Data'!G24)+N('Raw Data'!I24))*1000</f>
        <v>68.264</v>
      </c>
      <c r="E33" s="12" t="n">
        <f aca="false">'Raw Data'!H24*1000</f>
        <v>32.741</v>
      </c>
      <c r="F33" s="12" t="n">
        <f aca="false">'Raw Data'!K24*1000</f>
        <v>154.851</v>
      </c>
      <c r="G33" s="13" t="n">
        <f aca="false">'Raw Data'!K23*1000/F33</f>
        <v>0.569470006651555</v>
      </c>
      <c r="H33" s="7" t="str">
        <f aca="false">IF(G33&gt;=1,"faster than sequential","SLOWER than sequential")</f>
        <v>SLOWER than sequential</v>
      </c>
    </row>
    <row r="34" customFormat="false" ht="15" hidden="false" customHeight="false" outlineLevel="0" collapsed="false">
      <c r="A34" s="7" t="s">
        <v>69</v>
      </c>
      <c r="B34" s="7" t="n">
        <v>2</v>
      </c>
      <c r="C34" s="12" t="n">
        <f aca="false">('Raw Data'!F26+'Raw Data'!J26)*1000</f>
        <v>55.744</v>
      </c>
      <c r="D34" s="12" t="n">
        <f aca="false">(N('Raw Data'!G26)+N('Raw Data'!I26))*1000</f>
        <v>67.149</v>
      </c>
      <c r="E34" s="12" t="n">
        <f aca="false">'Raw Data'!H26*1000</f>
        <v>16.358</v>
      </c>
      <c r="F34" s="12" t="n">
        <f aca="false">'Raw Data'!K26*1000</f>
        <v>139.12</v>
      </c>
      <c r="G34" s="13" t="n">
        <f aca="false">'Raw Data'!K23*1000/F34</f>
        <v>0.633862852213916</v>
      </c>
      <c r="H34" s="7" t="str">
        <f aca="false">IF(G34&gt;=1,"faster than sequential","SLOWER than sequential")</f>
        <v>SLOWER than sequential</v>
      </c>
    </row>
    <row r="35" customFormat="false" ht="15" hidden="false" customHeight="false" outlineLevel="0" collapsed="false">
      <c r="A35" s="7" t="s">
        <v>69</v>
      </c>
      <c r="B35" s="7" t="n">
        <v>3</v>
      </c>
      <c r="C35" s="12" t="n">
        <f aca="false">('Raw Data'!F28+'Raw Data'!J28)*1000</f>
        <v>55.726</v>
      </c>
      <c r="D35" s="12" t="n">
        <f aca="false">(N('Raw Data'!G28)+N('Raw Data'!I28))*1000</f>
        <v>79.642</v>
      </c>
      <c r="E35" s="12" t="n">
        <f aca="false">'Raw Data'!H28*1000</f>
        <v>10.851</v>
      </c>
      <c r="F35" s="12" t="n">
        <f aca="false">'Raw Data'!K28*1000</f>
        <v>131.128</v>
      </c>
      <c r="G35" s="13" t="n">
        <f aca="false">'Raw Data'!K23*1000/F35</f>
        <v>0.672495576840949</v>
      </c>
      <c r="H35" s="7" t="str">
        <f aca="false">IF(G35&gt;=1,"faster than sequential","SLOWER than sequential")</f>
        <v>SLOWER than sequential</v>
      </c>
    </row>
    <row r="36" customFormat="false" ht="15" hidden="false" customHeight="false" outlineLevel="0" collapsed="false">
      <c r="A36" s="7" t="s">
        <v>69</v>
      </c>
      <c r="B36" s="7" t="n">
        <v>4</v>
      </c>
      <c r="C36" s="12" t="n">
        <f aca="false">('Raw Data'!F30+'Raw Data'!J30)*1000</f>
        <v>54.257</v>
      </c>
      <c r="D36" s="12" t="n">
        <f aca="false">(N('Raw Data'!G30)+N('Raw Data'!I30))*1000</f>
        <v>83.962</v>
      </c>
      <c r="E36" s="12" t="n">
        <f aca="false">'Raw Data'!H30*1000</f>
        <v>8.226</v>
      </c>
      <c r="F36" s="12" t="n">
        <f aca="false">'Raw Data'!K30*1000</f>
        <v>127.28</v>
      </c>
      <c r="G36" s="13" t="n">
        <f aca="false">'Raw Data'!K23*1000/F36</f>
        <v>0.692826838466373</v>
      </c>
      <c r="H36" s="7" t="str">
        <f aca="false">IF(G36&gt;=1,"faster than sequential","SLOWER than sequential")</f>
        <v>SLOWER than sequential</v>
      </c>
    </row>
    <row r="37" customFormat="false" ht="15" hidden="false" customHeight="false" outlineLevel="0" collapsed="false">
      <c r="A37" s="7" t="s">
        <v>70</v>
      </c>
      <c r="B37" s="7" t="n">
        <v>1</v>
      </c>
      <c r="C37" s="12" t="n">
        <f aca="false">('Raw Data'!F25+'Raw Data'!J25)*1000</f>
        <v>54.938</v>
      </c>
      <c r="D37" s="12" t="n">
        <f aca="false">(N('Raw Data'!G25)+N('Raw Data'!I25))*1000</f>
        <v>0</v>
      </c>
      <c r="E37" s="12" t="n">
        <f aca="false">'Raw Data'!H25*1000</f>
        <v>32.118</v>
      </c>
      <c r="F37" s="12" t="n">
        <f aca="false">'Raw Data'!K25*1000</f>
        <v>87.096</v>
      </c>
      <c r="G37" s="13" t="n">
        <f aca="false">'Raw Data'!K23*1000/F37</f>
        <v>1.01248048130798</v>
      </c>
      <c r="H37" s="7" t="str">
        <f aca="false">IF(G37&gt;=1,"faster than sequential","SLOWER than sequential")</f>
        <v>faster than sequential</v>
      </c>
    </row>
    <row r="38" customFormat="false" ht="15" hidden="false" customHeight="false" outlineLevel="0" collapsed="false">
      <c r="A38" s="7" t="s">
        <v>70</v>
      </c>
      <c r="B38" s="7" t="n">
        <v>2</v>
      </c>
      <c r="C38" s="12" t="n">
        <f aca="false">('Raw Data'!F27+'Raw Data'!J27)*1000</f>
        <v>35.658</v>
      </c>
      <c r="D38" s="12" t="n">
        <f aca="false">(N('Raw Data'!G27)+N('Raw Data'!I27))*1000</f>
        <v>0</v>
      </c>
      <c r="E38" s="12" t="n">
        <f aca="false">'Raw Data'!H27*1000</f>
        <v>16.256</v>
      </c>
      <c r="F38" s="12" t="n">
        <f aca="false">'Raw Data'!K27*1000</f>
        <v>51.928</v>
      </c>
      <c r="G38" s="13" t="n">
        <f aca="false">'Raw Data'!K23*1000/F38</f>
        <v>1.69817824680327</v>
      </c>
      <c r="H38" s="7" t="str">
        <f aca="false">IF(G38&gt;=1,"faster than sequential","SLOWER than sequential")</f>
        <v>faster than sequential</v>
      </c>
    </row>
    <row r="39" customFormat="false" ht="15" hidden="false" customHeight="false" outlineLevel="0" collapsed="false">
      <c r="A39" s="7" t="s">
        <v>70</v>
      </c>
      <c r="B39" s="7" t="n">
        <v>3</v>
      </c>
      <c r="C39" s="12" t="n">
        <f aca="false">('Raw Data'!F29+'Raw Data'!J29)*1000</f>
        <v>139.419</v>
      </c>
      <c r="D39" s="12" t="n">
        <f aca="false">(N('Raw Data'!G29)+N('Raw Data'!I29))*1000</f>
        <v>0</v>
      </c>
      <c r="E39" s="12" t="n">
        <f aca="false">'Raw Data'!H29*1000</f>
        <v>10.876</v>
      </c>
      <c r="F39" s="12" t="n">
        <f aca="false">'Raw Data'!K29*1000</f>
        <v>150.179</v>
      </c>
      <c r="G39" s="13" t="n">
        <f aca="false">'Raw Data'!K23*1000/F39</f>
        <v>0.587185958090013</v>
      </c>
      <c r="H39" s="7" t="str">
        <f aca="false">IF(G39&gt;=1,"faster than sequential","SLOWER than sequential")</f>
        <v>SLOWER than sequential</v>
      </c>
    </row>
    <row r="40" customFormat="false" ht="15" hidden="false" customHeight="false" outlineLevel="0" collapsed="false">
      <c r="A40" s="7" t="s">
        <v>70</v>
      </c>
      <c r="B40" s="7" t="n">
        <v>4</v>
      </c>
      <c r="C40" s="12" t="n">
        <f aca="false">('Raw Data'!F31+'Raw Data'!J31)*1000</f>
        <v>116.066</v>
      </c>
      <c r="D40" s="12" t="n">
        <f aca="false">(N('Raw Data'!G31)+N('Raw Data'!I31))*1000</f>
        <v>0</v>
      </c>
      <c r="E40" s="12" t="n">
        <f aca="false">'Raw Data'!H31*1000</f>
        <v>8.091</v>
      </c>
      <c r="F40" s="12" t="n">
        <f aca="false">'Raw Data'!K31*1000</f>
        <v>122.616</v>
      </c>
      <c r="G40" s="13" t="n">
        <f aca="false">'Raw Data'!K23*1000/F40</f>
        <v>0.719180204867228</v>
      </c>
      <c r="H40" s="7" t="str">
        <f aca="false">IF(G40&gt;=1,"faster than sequential","SLOWER than sequential")</f>
        <v>SLOWER than sequential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6" min="4" style="0" width="17"/>
    <col collapsed="false" customWidth="true" hidden="false" outlineLevel="0" max="7" min="7" style="0" width="19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0" hidden="false" customHeight="true" outlineLevel="0" collapsed="false">
      <c r="A4" s="6" t="s">
        <v>85</v>
      </c>
      <c r="B4" s="6" t="s">
        <v>62</v>
      </c>
      <c r="C4" s="6" t="s">
        <v>63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90</v>
      </c>
    </row>
    <row r="5" customFormat="false" ht="15" hidden="false" customHeight="false" outlineLevel="0" collapsed="false">
      <c r="A5" s="7" t="s">
        <v>75</v>
      </c>
      <c r="B5" s="7" t="s">
        <v>69</v>
      </c>
      <c r="C5" s="7" t="n">
        <v>1</v>
      </c>
      <c r="D5" s="12" t="n">
        <f aca="false">'Raw Data'!H5*1000</f>
        <v>1.881</v>
      </c>
      <c r="E5" s="12" t="n">
        <f aca="false">(N('Raw Data'!G6)+N('Raw Data'!I6))*1000</f>
        <v>4.237</v>
      </c>
      <c r="F5" s="12" t="n">
        <f aca="false">'Raw Data'!H6*1000</f>
        <v>1.868</v>
      </c>
      <c r="G5" s="13" t="n">
        <f aca="false">IF(E5=0,0,E5/D5)</f>
        <v>2.25252525252525</v>
      </c>
      <c r="H5" s="7" t="str">
        <f aca="false">IF(E5=0,"no data movement at all",IF(G5&gt;1,"communication exceeds the work","communication is affordable"))</f>
        <v>communication exceeds the work</v>
      </c>
    </row>
    <row r="6" customFormat="false" ht="15" hidden="false" customHeight="false" outlineLevel="0" collapsed="false">
      <c r="A6" s="7" t="s">
        <v>75</v>
      </c>
      <c r="B6" s="7" t="s">
        <v>69</v>
      </c>
      <c r="C6" s="7" t="n">
        <v>2</v>
      </c>
      <c r="D6" s="12" t="n">
        <f aca="false">'Raw Data'!H5*1000</f>
        <v>1.881</v>
      </c>
      <c r="E6" s="12" t="n">
        <f aca="false">(N('Raw Data'!G8)+N('Raw Data'!I8))*1000</f>
        <v>4.694</v>
      </c>
      <c r="F6" s="12" t="n">
        <f aca="false">'Raw Data'!H8*1000</f>
        <v>0.949</v>
      </c>
      <c r="G6" s="13" t="n">
        <f aca="false">IF(E6=0,0,E6/D6)</f>
        <v>2.49548112706007</v>
      </c>
      <c r="H6" s="7" t="str">
        <f aca="false">IF(E6=0,"no data movement at all",IF(G6&gt;1,"communication exceeds the work","communication is affordable"))</f>
        <v>communication exceeds the work</v>
      </c>
    </row>
    <row r="7" customFormat="false" ht="15" hidden="false" customHeight="false" outlineLevel="0" collapsed="false">
      <c r="A7" s="7" t="s">
        <v>75</v>
      </c>
      <c r="B7" s="7" t="s">
        <v>69</v>
      </c>
      <c r="C7" s="7" t="n">
        <v>3</v>
      </c>
      <c r="D7" s="12" t="n">
        <f aca="false">'Raw Data'!H5*1000</f>
        <v>1.881</v>
      </c>
      <c r="E7" s="12" t="n">
        <f aca="false">(N('Raw Data'!G10)+N('Raw Data'!I10))*1000</f>
        <v>5.191</v>
      </c>
      <c r="F7" s="12" t="n">
        <f aca="false">'Raw Data'!H10*1000</f>
        <v>0.61</v>
      </c>
      <c r="G7" s="13" t="n">
        <f aca="false">IF(E7=0,0,E7/D7)</f>
        <v>2.75970228601808</v>
      </c>
      <c r="H7" s="7" t="str">
        <f aca="false">IF(E7=0,"no data movement at all",IF(G7&gt;1,"communication exceeds the work","communication is affordable"))</f>
        <v>communication exceeds the work</v>
      </c>
    </row>
    <row r="8" customFormat="false" ht="15" hidden="false" customHeight="false" outlineLevel="0" collapsed="false">
      <c r="A8" s="7" t="s">
        <v>75</v>
      </c>
      <c r="B8" s="7" t="s">
        <v>69</v>
      </c>
      <c r="C8" s="7" t="n">
        <v>4</v>
      </c>
      <c r="D8" s="12" t="n">
        <f aca="false">'Raw Data'!H5*1000</f>
        <v>1.881</v>
      </c>
      <c r="E8" s="12" t="n">
        <f aca="false">(N('Raw Data'!G12)+N('Raw Data'!I12))*1000</f>
        <v>5.928</v>
      </c>
      <c r="F8" s="12" t="n">
        <f aca="false">'Raw Data'!H12*1000</f>
        <v>0.458</v>
      </c>
      <c r="G8" s="13" t="n">
        <f aca="false">IF(E8=0,0,E8/D8)</f>
        <v>3.15151515151515</v>
      </c>
      <c r="H8" s="7" t="str">
        <f aca="false">IF(E8=0,"no data movement at all",IF(G8&gt;1,"communication exceeds the work","communication is affordable"))</f>
        <v>communication exceeds the work</v>
      </c>
    </row>
    <row r="9" customFormat="false" ht="15" hidden="false" customHeight="false" outlineLevel="0" collapsed="false">
      <c r="A9" s="7" t="s">
        <v>75</v>
      </c>
      <c r="B9" s="7" t="s">
        <v>70</v>
      </c>
      <c r="C9" s="7" t="n">
        <v>1</v>
      </c>
      <c r="D9" s="12" t="n">
        <f aca="false">'Raw Data'!H5*1000</f>
        <v>1.881</v>
      </c>
      <c r="E9" s="12" t="n">
        <f aca="false">(N('Raw Data'!G7)+N('Raw Data'!I7))*1000</f>
        <v>0</v>
      </c>
      <c r="F9" s="12" t="n">
        <f aca="false">'Raw Data'!H7*1000</f>
        <v>1.877</v>
      </c>
      <c r="G9" s="13" t="n">
        <f aca="false">IF(E9=0,0,E9/D9)</f>
        <v>0</v>
      </c>
      <c r="H9" s="7" t="str">
        <f aca="false">IF(E9=0,"no data movement at all",IF(G9&gt;1,"communication exceeds the work","communication is affordable"))</f>
        <v>no data movement at all</v>
      </c>
    </row>
    <row r="10" customFormat="false" ht="15" hidden="false" customHeight="false" outlineLevel="0" collapsed="false">
      <c r="A10" s="7" t="s">
        <v>75</v>
      </c>
      <c r="B10" s="7" t="s">
        <v>70</v>
      </c>
      <c r="C10" s="7" t="n">
        <v>2</v>
      </c>
      <c r="D10" s="12" t="n">
        <f aca="false">'Raw Data'!H5*1000</f>
        <v>1.881</v>
      </c>
      <c r="E10" s="12" t="n">
        <f aca="false">(N('Raw Data'!G9)+N('Raw Data'!I9))*1000</f>
        <v>0</v>
      </c>
      <c r="F10" s="12" t="n">
        <f aca="false">'Raw Data'!H9*1000</f>
        <v>0.925</v>
      </c>
      <c r="G10" s="13" t="n">
        <f aca="false">IF(E10=0,0,E10/D10)</f>
        <v>0</v>
      </c>
      <c r="H10" s="7" t="str">
        <f aca="false">IF(E10=0,"no data movement at all",IF(G10&gt;1,"communication exceeds the work","communication is affordable"))</f>
        <v>no data movement at all</v>
      </c>
    </row>
    <row r="11" customFormat="false" ht="15" hidden="false" customHeight="false" outlineLevel="0" collapsed="false">
      <c r="A11" s="7" t="s">
        <v>75</v>
      </c>
      <c r="B11" s="7" t="s">
        <v>70</v>
      </c>
      <c r="C11" s="7" t="n">
        <v>3</v>
      </c>
      <c r="D11" s="12" t="n">
        <f aca="false">'Raw Data'!H5*1000</f>
        <v>1.881</v>
      </c>
      <c r="E11" s="12" t="n">
        <f aca="false">(N('Raw Data'!G11)+N('Raw Data'!I11))*1000</f>
        <v>0</v>
      </c>
      <c r="F11" s="12" t="n">
        <f aca="false">'Raw Data'!H11*1000</f>
        <v>0.616</v>
      </c>
      <c r="G11" s="13" t="n">
        <f aca="false">IF(E11=0,0,E11/D11)</f>
        <v>0</v>
      </c>
      <c r="H11" s="7" t="str">
        <f aca="false">IF(E11=0,"no data movement at all",IF(G11&gt;1,"communication exceeds the work","communication is affordable"))</f>
        <v>no data movement at all</v>
      </c>
    </row>
    <row r="12" customFormat="false" ht="15" hidden="false" customHeight="false" outlineLevel="0" collapsed="false">
      <c r="A12" s="7" t="s">
        <v>75</v>
      </c>
      <c r="B12" s="7" t="s">
        <v>70</v>
      </c>
      <c r="C12" s="7" t="n">
        <v>4</v>
      </c>
      <c r="D12" s="12" t="n">
        <f aca="false">'Raw Data'!H5*1000</f>
        <v>1.881</v>
      </c>
      <c r="E12" s="12" t="n">
        <f aca="false">(N('Raw Data'!G13)+N('Raw Data'!I13))*1000</f>
        <v>0</v>
      </c>
      <c r="F12" s="12" t="n">
        <f aca="false">'Raw Data'!H13*1000</f>
        <v>0.458</v>
      </c>
      <c r="G12" s="13" t="n">
        <f aca="false">IF(E12=0,0,E12/D12)</f>
        <v>0</v>
      </c>
      <c r="H12" s="7" t="str">
        <f aca="false">IF(E12=0,"no data movement at all",IF(G12&gt;1,"communication exceeds the work","communication is affordable"))</f>
        <v>no data movement at all</v>
      </c>
    </row>
    <row r="13" customFormat="false" ht="15" hidden="false" customHeight="false" outlineLevel="0" collapsed="false">
      <c r="A13" s="7" t="s">
        <v>81</v>
      </c>
      <c r="B13" s="7" t="s">
        <v>69</v>
      </c>
      <c r="C13" s="7" t="n">
        <v>1</v>
      </c>
      <c r="D13" s="12" t="n">
        <f aca="false">'Raw Data'!H14*1000</f>
        <v>7.84</v>
      </c>
      <c r="E13" s="12" t="n">
        <f aca="false">(N('Raw Data'!G15)+N('Raw Data'!I15))*1000</f>
        <v>17.056</v>
      </c>
      <c r="F13" s="12" t="n">
        <f aca="false">'Raw Data'!H15*1000</f>
        <v>7.741</v>
      </c>
      <c r="G13" s="13" t="n">
        <f aca="false">IF(E13=0,0,E13/D13)</f>
        <v>2.17551020408163</v>
      </c>
      <c r="H13" s="7" t="str">
        <f aca="false">IF(E13=0,"no data movement at all",IF(G13&gt;1,"communication exceeds the work","communication is affordable"))</f>
        <v>communication exceeds the work</v>
      </c>
    </row>
    <row r="14" customFormat="false" ht="15" hidden="false" customHeight="false" outlineLevel="0" collapsed="false">
      <c r="A14" s="7" t="s">
        <v>81</v>
      </c>
      <c r="B14" s="7" t="s">
        <v>69</v>
      </c>
      <c r="C14" s="7" t="n">
        <v>2</v>
      </c>
      <c r="D14" s="12" t="n">
        <f aca="false">'Raw Data'!H14*1000</f>
        <v>7.84</v>
      </c>
      <c r="E14" s="12" t="n">
        <f aca="false">(N('Raw Data'!G17)+N('Raw Data'!I17))*1000</f>
        <v>18.26</v>
      </c>
      <c r="F14" s="12" t="n">
        <f aca="false">'Raw Data'!H17*1000</f>
        <v>3.833</v>
      </c>
      <c r="G14" s="13" t="n">
        <f aca="false">IF(E14=0,0,E14/D14)</f>
        <v>2.32908163265306</v>
      </c>
      <c r="H14" s="7" t="str">
        <f aca="false">IF(E14=0,"no data movement at all",IF(G14&gt;1,"communication exceeds the work","communication is affordable"))</f>
        <v>communication exceeds the work</v>
      </c>
    </row>
    <row r="15" customFormat="false" ht="15" hidden="false" customHeight="false" outlineLevel="0" collapsed="false">
      <c r="A15" s="7" t="s">
        <v>81</v>
      </c>
      <c r="B15" s="7" t="s">
        <v>69</v>
      </c>
      <c r="C15" s="7" t="n">
        <v>3</v>
      </c>
      <c r="D15" s="12" t="n">
        <f aca="false">'Raw Data'!H14*1000</f>
        <v>7.84</v>
      </c>
      <c r="E15" s="12" t="n">
        <f aca="false">(N('Raw Data'!G19)+N('Raw Data'!I19))*1000</f>
        <v>19.156</v>
      </c>
      <c r="F15" s="12" t="n">
        <f aca="false">'Raw Data'!H19*1000</f>
        <v>2.518</v>
      </c>
      <c r="G15" s="13" t="n">
        <f aca="false">IF(E15=0,0,E15/D15)</f>
        <v>2.44336734693878</v>
      </c>
      <c r="H15" s="7" t="str">
        <f aca="false">IF(E15=0,"no data movement at all",IF(G15&gt;1,"communication exceeds the work","communication is affordable"))</f>
        <v>communication exceeds the work</v>
      </c>
    </row>
    <row r="16" customFormat="false" ht="15" hidden="false" customHeight="false" outlineLevel="0" collapsed="false">
      <c r="A16" s="7" t="s">
        <v>81</v>
      </c>
      <c r="B16" s="7" t="s">
        <v>69</v>
      </c>
      <c r="C16" s="7" t="n">
        <v>4</v>
      </c>
      <c r="D16" s="12" t="n">
        <f aca="false">'Raw Data'!H14*1000</f>
        <v>7.84</v>
      </c>
      <c r="E16" s="12" t="n">
        <f aca="false">(N('Raw Data'!G21)+N('Raw Data'!I21))*1000</f>
        <v>23.145</v>
      </c>
      <c r="F16" s="12" t="n">
        <f aca="false">'Raw Data'!H21*1000</f>
        <v>1.883</v>
      </c>
      <c r="G16" s="13" t="n">
        <f aca="false">IF(E16=0,0,E16/D16)</f>
        <v>2.95216836734694</v>
      </c>
      <c r="H16" s="7" t="str">
        <f aca="false">IF(E16=0,"no data movement at all",IF(G16&gt;1,"communication exceeds the work","communication is affordable"))</f>
        <v>communication exceeds the work</v>
      </c>
    </row>
    <row r="17" customFormat="false" ht="15" hidden="false" customHeight="false" outlineLevel="0" collapsed="false">
      <c r="A17" s="7" t="s">
        <v>81</v>
      </c>
      <c r="B17" s="7" t="s">
        <v>70</v>
      </c>
      <c r="C17" s="7" t="n">
        <v>1</v>
      </c>
      <c r="D17" s="12" t="n">
        <f aca="false">'Raw Data'!H14*1000</f>
        <v>7.84</v>
      </c>
      <c r="E17" s="12" t="n">
        <f aca="false">(N('Raw Data'!G16)+N('Raw Data'!I16))*1000</f>
        <v>0</v>
      </c>
      <c r="F17" s="12" t="n">
        <f aca="false">'Raw Data'!H16*1000</f>
        <v>7.7</v>
      </c>
      <c r="G17" s="13" t="n">
        <f aca="false">IF(E17=0,0,E17/D17)</f>
        <v>0</v>
      </c>
      <c r="H17" s="7" t="str">
        <f aca="false">IF(E17=0,"no data movement at all",IF(G17&gt;1,"communication exceeds the work","communication is affordable"))</f>
        <v>no data movement at all</v>
      </c>
    </row>
    <row r="18" customFormat="false" ht="15" hidden="false" customHeight="false" outlineLevel="0" collapsed="false">
      <c r="A18" s="7" t="s">
        <v>81</v>
      </c>
      <c r="B18" s="7" t="s">
        <v>70</v>
      </c>
      <c r="C18" s="7" t="n">
        <v>2</v>
      </c>
      <c r="D18" s="12" t="n">
        <f aca="false">'Raw Data'!H14*1000</f>
        <v>7.84</v>
      </c>
      <c r="E18" s="12" t="n">
        <f aca="false">(N('Raw Data'!G18)+N('Raw Data'!I18))*1000</f>
        <v>0</v>
      </c>
      <c r="F18" s="12" t="n">
        <f aca="false">'Raw Data'!H18*1000</f>
        <v>3.841</v>
      </c>
      <c r="G18" s="13" t="n">
        <f aca="false">IF(E18=0,0,E18/D18)</f>
        <v>0</v>
      </c>
      <c r="H18" s="7" t="str">
        <f aca="false">IF(E18=0,"no data movement at all",IF(G18&gt;1,"communication exceeds the work","communication is affordable"))</f>
        <v>no data movement at all</v>
      </c>
    </row>
    <row r="19" customFormat="false" ht="15" hidden="false" customHeight="false" outlineLevel="0" collapsed="false">
      <c r="A19" s="7" t="s">
        <v>81</v>
      </c>
      <c r="B19" s="7" t="s">
        <v>70</v>
      </c>
      <c r="C19" s="7" t="n">
        <v>3</v>
      </c>
      <c r="D19" s="12" t="n">
        <f aca="false">'Raw Data'!H14*1000</f>
        <v>7.84</v>
      </c>
      <c r="E19" s="12" t="n">
        <f aca="false">(N('Raw Data'!G20)+N('Raw Data'!I20))*1000</f>
        <v>0</v>
      </c>
      <c r="F19" s="12" t="n">
        <f aca="false">'Raw Data'!H20*1000</f>
        <v>2.528</v>
      </c>
      <c r="G19" s="13" t="n">
        <f aca="false">IF(E19=0,0,E19/D19)</f>
        <v>0</v>
      </c>
      <c r="H19" s="7" t="str">
        <f aca="false">IF(E19=0,"no data movement at all",IF(G19&gt;1,"communication exceeds the work","communication is affordable"))</f>
        <v>no data movement at all</v>
      </c>
    </row>
    <row r="20" customFormat="false" ht="15" hidden="false" customHeight="false" outlineLevel="0" collapsed="false">
      <c r="A20" s="7" t="s">
        <v>81</v>
      </c>
      <c r="B20" s="7" t="s">
        <v>70</v>
      </c>
      <c r="C20" s="7" t="n">
        <v>4</v>
      </c>
      <c r="D20" s="12" t="n">
        <f aca="false">'Raw Data'!H14*1000</f>
        <v>7.84</v>
      </c>
      <c r="E20" s="12" t="n">
        <f aca="false">(N('Raw Data'!G22)+N('Raw Data'!I22))*1000</f>
        <v>0</v>
      </c>
      <c r="F20" s="12" t="n">
        <f aca="false">'Raw Data'!H22*1000</f>
        <v>1.885</v>
      </c>
      <c r="G20" s="13" t="n">
        <f aca="false">IF(E20=0,0,E20/D20)</f>
        <v>0</v>
      </c>
      <c r="H20" s="7" t="str">
        <f aca="false">IF(E20=0,"no data movement at all",IF(G20&gt;1,"communication exceeds the work","communication is affordable"))</f>
        <v>no data movement at all</v>
      </c>
    </row>
    <row r="21" customFormat="false" ht="15" hidden="false" customHeight="false" outlineLevel="0" collapsed="false">
      <c r="A21" s="7" t="s">
        <v>82</v>
      </c>
      <c r="B21" s="7" t="s">
        <v>69</v>
      </c>
      <c r="C21" s="7" t="n">
        <v>1</v>
      </c>
      <c r="D21" s="12" t="n">
        <f aca="false">'Raw Data'!H23*1000</f>
        <v>32.642</v>
      </c>
      <c r="E21" s="12" t="n">
        <f aca="false">(N('Raw Data'!G24)+N('Raw Data'!I24))*1000</f>
        <v>68.264</v>
      </c>
      <c r="F21" s="12" t="n">
        <f aca="false">'Raw Data'!H24*1000</f>
        <v>32.741</v>
      </c>
      <c r="G21" s="13" t="n">
        <f aca="false">IF(E21=0,0,E21/D21)</f>
        <v>2.09129342564794</v>
      </c>
      <c r="H21" s="7" t="str">
        <f aca="false">IF(E21=0,"no data movement at all",IF(G21&gt;1,"communication exceeds the work","communication is affordable"))</f>
        <v>communication exceeds the work</v>
      </c>
    </row>
    <row r="22" customFormat="false" ht="15" hidden="false" customHeight="false" outlineLevel="0" collapsed="false">
      <c r="A22" s="7" t="s">
        <v>82</v>
      </c>
      <c r="B22" s="7" t="s">
        <v>69</v>
      </c>
      <c r="C22" s="7" t="n">
        <v>2</v>
      </c>
      <c r="D22" s="12" t="n">
        <f aca="false">'Raw Data'!H23*1000</f>
        <v>32.642</v>
      </c>
      <c r="E22" s="12" t="n">
        <f aca="false">(N('Raw Data'!G26)+N('Raw Data'!I26))*1000</f>
        <v>67.149</v>
      </c>
      <c r="F22" s="12" t="n">
        <f aca="false">'Raw Data'!H26*1000</f>
        <v>16.358</v>
      </c>
      <c r="G22" s="13" t="n">
        <f aca="false">IF(E22=0,0,E22/D22)</f>
        <v>2.0571349794743</v>
      </c>
      <c r="H22" s="7" t="str">
        <f aca="false">IF(E22=0,"no data movement at all",IF(G22&gt;1,"communication exceeds the work","communication is affordable"))</f>
        <v>communication exceeds the work</v>
      </c>
    </row>
    <row r="23" customFormat="false" ht="15" hidden="false" customHeight="false" outlineLevel="0" collapsed="false">
      <c r="A23" s="7" t="s">
        <v>82</v>
      </c>
      <c r="B23" s="7" t="s">
        <v>69</v>
      </c>
      <c r="C23" s="7" t="n">
        <v>3</v>
      </c>
      <c r="D23" s="12" t="n">
        <f aca="false">'Raw Data'!H23*1000</f>
        <v>32.642</v>
      </c>
      <c r="E23" s="12" t="n">
        <f aca="false">(N('Raw Data'!G28)+N('Raw Data'!I28))*1000</f>
        <v>79.642</v>
      </c>
      <c r="F23" s="12" t="n">
        <f aca="false">'Raw Data'!H28*1000</f>
        <v>10.851</v>
      </c>
      <c r="G23" s="13" t="n">
        <f aca="false">IF(E23=0,0,E23/D23)</f>
        <v>2.43986275350775</v>
      </c>
      <c r="H23" s="7" t="str">
        <f aca="false">IF(E23=0,"no data movement at all",IF(G23&gt;1,"communication exceeds the work","communication is affordable"))</f>
        <v>communication exceeds the work</v>
      </c>
    </row>
    <row r="24" customFormat="false" ht="15" hidden="false" customHeight="false" outlineLevel="0" collapsed="false">
      <c r="A24" s="7" t="s">
        <v>82</v>
      </c>
      <c r="B24" s="7" t="s">
        <v>69</v>
      </c>
      <c r="C24" s="7" t="n">
        <v>4</v>
      </c>
      <c r="D24" s="12" t="n">
        <f aca="false">'Raw Data'!H23*1000</f>
        <v>32.642</v>
      </c>
      <c r="E24" s="12" t="n">
        <f aca="false">(N('Raw Data'!G30)+N('Raw Data'!I30))*1000</f>
        <v>83.962</v>
      </c>
      <c r="F24" s="12" t="n">
        <f aca="false">'Raw Data'!H30*1000</f>
        <v>8.226</v>
      </c>
      <c r="G24" s="13" t="n">
        <f aca="false">IF(E24=0,0,E24/D24)</f>
        <v>2.57220758531953</v>
      </c>
      <c r="H24" s="7" t="str">
        <f aca="false">IF(E24=0,"no data movement at all",IF(G24&gt;1,"communication exceeds the work","communication is affordable"))</f>
        <v>communication exceeds the work</v>
      </c>
    </row>
    <row r="25" customFormat="false" ht="15" hidden="false" customHeight="false" outlineLevel="0" collapsed="false">
      <c r="A25" s="7" t="s">
        <v>82</v>
      </c>
      <c r="B25" s="7" t="s">
        <v>70</v>
      </c>
      <c r="C25" s="7" t="n">
        <v>1</v>
      </c>
      <c r="D25" s="12" t="n">
        <f aca="false">'Raw Data'!H23*1000</f>
        <v>32.642</v>
      </c>
      <c r="E25" s="12" t="n">
        <f aca="false">(N('Raw Data'!G25)+N('Raw Data'!I25))*1000</f>
        <v>0</v>
      </c>
      <c r="F25" s="12" t="n">
        <f aca="false">'Raw Data'!H25*1000</f>
        <v>32.118</v>
      </c>
      <c r="G25" s="13" t="n">
        <f aca="false">IF(E25=0,0,E25/D25)</f>
        <v>0</v>
      </c>
      <c r="H25" s="7" t="str">
        <f aca="false">IF(E25=0,"no data movement at all",IF(G25&gt;1,"communication exceeds the work","communication is affordable"))</f>
        <v>no data movement at all</v>
      </c>
    </row>
    <row r="26" customFormat="false" ht="15" hidden="false" customHeight="false" outlineLevel="0" collapsed="false">
      <c r="A26" s="7" t="s">
        <v>82</v>
      </c>
      <c r="B26" s="7" t="s">
        <v>70</v>
      </c>
      <c r="C26" s="7" t="n">
        <v>2</v>
      </c>
      <c r="D26" s="12" t="n">
        <f aca="false">'Raw Data'!H23*1000</f>
        <v>32.642</v>
      </c>
      <c r="E26" s="12" t="n">
        <f aca="false">(N('Raw Data'!G27)+N('Raw Data'!I27))*1000</f>
        <v>0</v>
      </c>
      <c r="F26" s="12" t="n">
        <f aca="false">'Raw Data'!H27*1000</f>
        <v>16.256</v>
      </c>
      <c r="G26" s="13" t="n">
        <f aca="false">IF(E26=0,0,E26/D26)</f>
        <v>0</v>
      </c>
      <c r="H26" s="7" t="str">
        <f aca="false">IF(E26=0,"no data movement at all",IF(G26&gt;1,"communication exceeds the work","communication is affordable"))</f>
        <v>no data movement at all</v>
      </c>
    </row>
    <row r="27" customFormat="false" ht="15" hidden="false" customHeight="false" outlineLevel="0" collapsed="false">
      <c r="A27" s="7" t="s">
        <v>82</v>
      </c>
      <c r="B27" s="7" t="s">
        <v>70</v>
      </c>
      <c r="C27" s="7" t="n">
        <v>3</v>
      </c>
      <c r="D27" s="12" t="n">
        <f aca="false">'Raw Data'!H23*1000</f>
        <v>32.642</v>
      </c>
      <c r="E27" s="12" t="n">
        <f aca="false">(N('Raw Data'!G29)+N('Raw Data'!I29))*1000</f>
        <v>0</v>
      </c>
      <c r="F27" s="12" t="n">
        <f aca="false">'Raw Data'!H29*1000</f>
        <v>10.876</v>
      </c>
      <c r="G27" s="13" t="n">
        <f aca="false">IF(E27=0,0,E27/D27)</f>
        <v>0</v>
      </c>
      <c r="H27" s="7" t="str">
        <f aca="false">IF(E27=0,"no data movement at all",IF(G27&gt;1,"communication exceeds the work","communication is affordable"))</f>
        <v>no data movement at all</v>
      </c>
    </row>
    <row r="28" customFormat="false" ht="15" hidden="false" customHeight="false" outlineLevel="0" collapsed="false">
      <c r="A28" s="7" t="s">
        <v>82</v>
      </c>
      <c r="B28" s="7" t="s">
        <v>70</v>
      </c>
      <c r="C28" s="7" t="n">
        <v>4</v>
      </c>
      <c r="D28" s="12" t="n">
        <f aca="false">'Raw Data'!H23*1000</f>
        <v>32.642</v>
      </c>
      <c r="E28" s="12" t="n">
        <f aca="false">(N('Raw Data'!G31)+N('Raw Data'!I31))*1000</f>
        <v>0</v>
      </c>
      <c r="F28" s="12" t="n">
        <f aca="false">'Raw Data'!H31*1000</f>
        <v>8.091</v>
      </c>
      <c r="G28" s="13" t="n">
        <f aca="false">IF(E28=0,0,E28/D28)</f>
        <v>0</v>
      </c>
      <c r="H28" s="7" t="str">
        <f aca="false">IF(E28=0,"no data movement at all",IF(G28&gt;1,"communication exceeds the work","communication is affordable"))</f>
        <v>no data movement at all</v>
      </c>
    </row>
    <row r="30" customFormat="false" ht="15" hidden="false" customHeight="false" outlineLevel="0" collapsed="false">
      <c r="A30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30" hidden="false" customHeight="true" outlineLevel="0" collapsed="false">
      <c r="A4" s="6" t="s">
        <v>63</v>
      </c>
      <c r="B4" s="6" t="s">
        <v>94</v>
      </c>
      <c r="C4" s="6" t="s">
        <v>95</v>
      </c>
      <c r="D4" s="6" t="s">
        <v>96</v>
      </c>
      <c r="E4" s="6" t="s">
        <v>97</v>
      </c>
    </row>
    <row r="5" customFormat="false" ht="15" hidden="false" customHeight="false" outlineLevel="0" collapsed="false">
      <c r="A5" s="7" t="n">
        <v>1</v>
      </c>
      <c r="B5" s="16" t="n">
        <v>291.995</v>
      </c>
      <c r="C5" s="12" t="n">
        <f aca="false">'Raw Data'!H5*1000</f>
        <v>1.881</v>
      </c>
      <c r="D5" s="13" t="n">
        <f aca="false">B5/C5</f>
        <v>155.233918128655</v>
      </c>
      <c r="E5" s="7" t="str">
        <f aca="false">TEXT(D5,"0")&amp;"x the entire HD conversion"</f>
        <v>155x the entire HD conversion</v>
      </c>
    </row>
    <row r="6" customFormat="false" ht="15" hidden="false" customHeight="false" outlineLevel="0" collapsed="false">
      <c r="A6" s="7" t="n">
        <v>2</v>
      </c>
      <c r="B6" s="16" t="n">
        <v>327.197</v>
      </c>
      <c r="C6" s="12" t="n">
        <f aca="false">'Raw Data'!H5*1000</f>
        <v>1.881</v>
      </c>
      <c r="D6" s="13" t="n">
        <f aca="false">B6/C6</f>
        <v>173.948431685274</v>
      </c>
      <c r="E6" s="7" t="str">
        <f aca="false">TEXT(D6,"0")&amp;"x the entire HD conversion"</f>
        <v>174x the entire HD conversion</v>
      </c>
    </row>
    <row r="7" customFormat="false" ht="15" hidden="false" customHeight="false" outlineLevel="0" collapsed="false">
      <c r="A7" s="7" t="n">
        <v>3</v>
      </c>
      <c r="B7" s="16" t="n">
        <v>364.955</v>
      </c>
      <c r="C7" s="12" t="n">
        <f aca="false">'Raw Data'!H5*1000</f>
        <v>1.881</v>
      </c>
      <c r="D7" s="13" t="n">
        <f aca="false">B7/C7</f>
        <v>194.021796916534</v>
      </c>
      <c r="E7" s="7" t="str">
        <f aca="false">TEXT(D7,"0")&amp;"x the entire HD conversion"</f>
        <v>194x the entire HD conversion</v>
      </c>
    </row>
    <row r="8" customFormat="false" ht="15" hidden="false" customHeight="false" outlineLevel="0" collapsed="false">
      <c r="A8" s="7" t="n">
        <v>4</v>
      </c>
      <c r="B8" s="16" t="n">
        <v>391.592</v>
      </c>
      <c r="C8" s="12" t="n">
        <f aca="false">'Raw Data'!H5*1000</f>
        <v>1.881</v>
      </c>
      <c r="D8" s="13" t="n">
        <f aca="false">B8/C8</f>
        <v>208.182881446039</v>
      </c>
      <c r="E8" s="7" t="str">
        <f aca="false">TEXT(D8,"0")&amp;"x the entire HD conversion"</f>
        <v>208x the entire HD conversion</v>
      </c>
    </row>
    <row r="10" customFormat="false" ht="15" hidden="false" customHeight="false" outlineLevel="0" collapsed="false">
      <c r="A10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2026-09-05T05:20:55Z</dcterms:created>
  <dc:creator>openpyxl</dc:creator>
  <dc:description/>
  <dc:language>en-US</dc:language>
  <cp:lastModifiedBy/>
  <dcterms:modified xsi:type="dcterms:W3CDTF">2026-09-05T05:20:57Z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